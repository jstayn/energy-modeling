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sta\code\energy-modeling\"/>
    </mc:Choice>
  </mc:AlternateContent>
  <xr:revisionPtr revIDLastSave="0" documentId="13_ncr:1_{C425951E-E1E5-45E2-956D-1C2F76E82B04}" xr6:coauthVersionLast="47" xr6:coauthVersionMax="47" xr10:uidLastSave="{00000000-0000-0000-0000-000000000000}"/>
  <bookViews>
    <workbookView xWindow="38280" yWindow="-120" windowWidth="29040" windowHeight="15720" activeTab="1" xr2:uid="{28708036-2B57-4BF8-81B7-9AE1A5A71640}"/>
  </bookViews>
  <sheets>
    <sheet name="Sheet1" sheetId="1" r:id="rId1"/>
    <sheet name="First-Order Estimate" sheetId="3" r:id="rId2"/>
    <sheet name="Model Desig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4" i="3"/>
  <c r="G24" i="1"/>
  <c r="G33" i="1"/>
  <c r="G32" i="1"/>
  <c r="G31" i="1"/>
  <c r="G30" i="1"/>
  <c r="G29" i="1"/>
  <c r="G28" i="1"/>
  <c r="G27" i="1"/>
  <c r="D24" i="1"/>
  <c r="F24" i="1"/>
  <c r="F23" i="1"/>
  <c r="D21" i="1"/>
  <c r="N17" i="1"/>
  <c r="M17" i="1"/>
  <c r="L17" i="1"/>
  <c r="K17" i="1"/>
  <c r="J17" i="1"/>
  <c r="I17" i="1"/>
  <c r="H17" i="1"/>
  <c r="G17" i="1"/>
  <c r="F17" i="1"/>
  <c r="E17" i="1"/>
  <c r="D17" i="1"/>
  <c r="N16" i="1"/>
  <c r="M16" i="1"/>
  <c r="L16" i="1"/>
  <c r="K16" i="1"/>
  <c r="J16" i="1"/>
  <c r="I16" i="1"/>
  <c r="H16" i="1"/>
  <c r="G16" i="1"/>
  <c r="F16" i="1"/>
  <c r="E16" i="1"/>
  <c r="D16" i="1"/>
  <c r="E15" i="1" l="1"/>
  <c r="N15" i="1"/>
  <c r="D15" i="1"/>
  <c r="D9" i="1"/>
  <c r="N18" i="1" l="1"/>
  <c r="M18" i="1"/>
  <c r="L18" i="1"/>
  <c r="K18" i="1"/>
  <c r="J18" i="1"/>
  <c r="I18" i="1"/>
  <c r="H18" i="1"/>
  <c r="G18" i="1"/>
  <c r="F18" i="1"/>
  <c r="E18" i="1"/>
  <c r="D18" i="1"/>
  <c r="H15" i="1"/>
  <c r="F15" i="1"/>
  <c r="I15" i="1"/>
  <c r="G15" i="1"/>
  <c r="J15" i="1"/>
  <c r="M15" i="1"/>
  <c r="K15" i="1"/>
  <c r="L15" i="1"/>
</calcChain>
</file>

<file path=xl/sharedStrings.xml><?xml version="1.0" encoding="utf-8"?>
<sst xmlns="http://schemas.openxmlformats.org/spreadsheetml/2006/main" count="105" uniqueCount="81">
  <si>
    <t>Variable</t>
  </si>
  <si>
    <t>Decision Variable</t>
  </si>
  <si>
    <t>Minimum</t>
  </si>
  <si>
    <t>Maximum</t>
  </si>
  <si>
    <t>Units</t>
  </si>
  <si>
    <t>Description</t>
  </si>
  <si>
    <t>P_B</t>
  </si>
  <si>
    <t>Power delivered to battery</t>
  </si>
  <si>
    <t>P_C</t>
  </si>
  <si>
    <t>Power used to charge battery</t>
  </si>
  <si>
    <t>-P_c_max</t>
  </si>
  <si>
    <t>P_c_max</t>
  </si>
  <si>
    <t>MW</t>
  </si>
  <si>
    <t>P_D</t>
  </si>
  <si>
    <t>Power used to discharge battery</t>
  </si>
  <si>
    <t>P_d_max</t>
  </si>
  <si>
    <t>P_M</t>
  </si>
  <si>
    <t>Power delivered by grid</t>
  </si>
  <si>
    <t>P_L</t>
  </si>
  <si>
    <t>Power delivered to load</t>
  </si>
  <si>
    <t>LMP</t>
  </si>
  <si>
    <t>Locational marginal price of electricity from the grid</t>
  </si>
  <si>
    <t>$/MWh</t>
  </si>
  <si>
    <t>S</t>
  </si>
  <si>
    <t>State of Charge of the battery</t>
  </si>
  <si>
    <t>S_min</t>
  </si>
  <si>
    <t>S_max</t>
  </si>
  <si>
    <t>%</t>
  </si>
  <si>
    <t>Time dependent Variables</t>
  </si>
  <si>
    <t>Time independent Parameters</t>
  </si>
  <si>
    <t>Parameter</t>
  </si>
  <si>
    <t>Delta t</t>
  </si>
  <si>
    <t>Time step</t>
  </si>
  <si>
    <t>Value</t>
  </si>
  <si>
    <t>hours</t>
  </si>
  <si>
    <t>Maximum charging power</t>
  </si>
  <si>
    <t>Maximum discharging power</t>
  </si>
  <si>
    <t>Minimum SOC</t>
  </si>
  <si>
    <t>Maximum SOC</t>
  </si>
  <si>
    <t>eta_self</t>
  </si>
  <si>
    <t>Self-Discharge per times tep</t>
  </si>
  <si>
    <t>%/hr</t>
  </si>
  <si>
    <t>eta_conv</t>
  </si>
  <si>
    <t>Efficiency of converting incoming AC electricity to DC energy within the battery</t>
  </si>
  <si>
    <t>E_max</t>
  </si>
  <si>
    <t>Energy contained by the battery at 100% SOC and standard temperature conditions, assuming nameplate discharge curve</t>
  </si>
  <si>
    <t>S_0</t>
  </si>
  <si>
    <t>Starting SOC</t>
  </si>
  <si>
    <t>MWh</t>
  </si>
  <si>
    <t>Discount Rates</t>
  </si>
  <si>
    <t>Real Discount Rate</t>
  </si>
  <si>
    <t>Inflation</t>
  </si>
  <si>
    <t>Nominal Discount Rate</t>
  </si>
  <si>
    <t>Cash</t>
  </si>
  <si>
    <t>Year</t>
  </si>
  <si>
    <t>Purchasing Power (Y0)</t>
  </si>
  <si>
    <t>Cash Flow</t>
  </si>
  <si>
    <t xml:space="preserve">Amount of money I would need to invest now to have $100 </t>
  </si>
  <si>
    <t>Amount of money I would need to achieve the same purchasing power</t>
  </si>
  <si>
    <t>Nominal Discoutn</t>
  </si>
  <si>
    <t>2022-12-01 00:00:00+00:00</t>
  </si>
  <si>
    <t>2022-12-02 00:00:00+00:00</t>
  </si>
  <si>
    <t>2022-12-03 00:00:00+00:00</t>
  </si>
  <si>
    <t>2022-12-04 00:00:00+00:00</t>
  </si>
  <si>
    <t>2022-12-05 00:00:00+00:00</t>
  </si>
  <si>
    <t>2022-12-06 00:00:00+00:00</t>
  </si>
  <si>
    <t>2022-12-07 00:00:00+00:00</t>
  </si>
  <si>
    <t>Profit</t>
  </si>
  <si>
    <t>discounted Profit</t>
  </si>
  <si>
    <t>Daily Discount Rate</t>
  </si>
  <si>
    <t>Notes</t>
  </si>
  <si>
    <t>Number of Cycles</t>
  </si>
  <si>
    <t>Warranty Period</t>
  </si>
  <si>
    <t>years</t>
  </si>
  <si>
    <t>cycles</t>
  </si>
  <si>
    <t>Assume one cycle/day</t>
  </si>
  <si>
    <t>Average Discharge Price</t>
  </si>
  <si>
    <t>Estimate</t>
  </si>
  <si>
    <t>Battery Size</t>
  </si>
  <si>
    <t>Conversion Efficiency</t>
  </si>
  <si>
    <t>Marginal Profit per % of Efficiency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</si>
</sst>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7" formatCode="&quot;$&quot;#,##0.0_);[Red]\(&quot;$&quot;#,##0.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9" fontId="0" fillId="0" borderId="0" xfId="0" applyNumberFormat="1"/>
    <xf numFmtId="164" fontId="0" fillId="0" borderId="0" xfId="0" applyNumberFormat="1"/>
    <xf numFmtId="6" fontId="0" fillId="0" borderId="0" xfId="0" applyNumberFormat="1"/>
    <xf numFmtId="8" fontId="0" fillId="0" borderId="0" xfId="0" applyNumberFormat="1"/>
    <xf numFmtId="167" fontId="0" fillId="0" borderId="0" xfId="0" applyNumberFormat="1"/>
    <xf numFmtId="44" fontId="0" fillId="0" borderId="0" xfId="2" applyFont="1"/>
    <xf numFmtId="43" fontId="0" fillId="0" borderId="0" xfId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88900</xdr:colOff>
      <xdr:row>1</xdr:row>
      <xdr:rowOff>44450</xdr:rowOff>
    </xdr:from>
    <xdr:to>
      <xdr:col>18</xdr:col>
      <xdr:colOff>156350</xdr:colOff>
      <xdr:row>23</xdr:row>
      <xdr:rowOff>165837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29ECA3-C9E6-62B7-2606-DD83684C3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2900" y="228600"/>
          <a:ext cx="5553850" cy="5277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6AE8-82CC-4EE0-B8DE-B3819E1F8A0A}">
  <dimension ref="C4:N33"/>
  <sheetViews>
    <sheetView topLeftCell="A7" workbookViewId="0">
      <selection activeCell="I25" sqref="I25"/>
    </sheetView>
  </sheetViews>
  <sheetFormatPr defaultRowHeight="14.5" x14ac:dyDescent="0.35"/>
  <cols>
    <col min="3" max="3" width="19.453125" bestFit="1" customWidth="1"/>
    <col min="4" max="4" width="10.54296875" bestFit="1" customWidth="1"/>
    <col min="6" max="6" width="15.36328125" bestFit="1" customWidth="1"/>
    <col min="7" max="7" width="12.453125" bestFit="1" customWidth="1"/>
  </cols>
  <sheetData>
    <row r="4" spans="3:14" x14ac:dyDescent="0.35">
      <c r="C4" t="s">
        <v>49</v>
      </c>
    </row>
    <row r="7" spans="3:14" x14ac:dyDescent="0.35">
      <c r="C7" t="s">
        <v>50</v>
      </c>
      <c r="D7" s="5">
        <v>0.09</v>
      </c>
    </row>
    <row r="8" spans="3:14" x14ac:dyDescent="0.35">
      <c r="C8" t="s">
        <v>51</v>
      </c>
      <c r="D8" s="5">
        <v>0.03</v>
      </c>
    </row>
    <row r="9" spans="3:14" x14ac:dyDescent="0.35">
      <c r="C9" t="s">
        <v>52</v>
      </c>
      <c r="D9" s="6">
        <f>(1+D7)*(1+D8)-1</f>
        <v>0.12270000000000003</v>
      </c>
    </row>
    <row r="12" spans="3:14" x14ac:dyDescent="0.35">
      <c r="C12" t="s">
        <v>53</v>
      </c>
      <c r="D12" t="s">
        <v>54</v>
      </c>
    </row>
    <row r="13" spans="3:14" x14ac:dyDescent="0.35">
      <c r="D13">
        <v>0</v>
      </c>
      <c r="E13">
        <v>1</v>
      </c>
      <c r="F13">
        <v>2</v>
      </c>
      <c r="G13">
        <v>3</v>
      </c>
      <c r="H13">
        <v>4</v>
      </c>
      <c r="I13">
        <v>5</v>
      </c>
      <c r="J13">
        <v>6</v>
      </c>
      <c r="K13">
        <v>7</v>
      </c>
      <c r="L13">
        <v>8</v>
      </c>
      <c r="M13">
        <v>9</v>
      </c>
      <c r="N13">
        <v>10</v>
      </c>
    </row>
    <row r="14" spans="3:14" x14ac:dyDescent="0.35">
      <c r="C14" t="s">
        <v>56</v>
      </c>
      <c r="D14" s="7">
        <v>100</v>
      </c>
      <c r="E14" s="7">
        <v>100</v>
      </c>
      <c r="F14" s="7">
        <v>100</v>
      </c>
      <c r="G14" s="7">
        <v>100</v>
      </c>
      <c r="H14" s="7">
        <v>100</v>
      </c>
      <c r="I14" s="7">
        <v>100</v>
      </c>
      <c r="J14" s="7">
        <v>100</v>
      </c>
      <c r="K14" s="7">
        <v>100</v>
      </c>
      <c r="L14" s="7">
        <v>100</v>
      </c>
      <c r="M14" s="7">
        <v>100</v>
      </c>
      <c r="N14" s="7">
        <v>100</v>
      </c>
    </row>
    <row r="15" spans="3:14" x14ac:dyDescent="0.35">
      <c r="C15" t="s">
        <v>55</v>
      </c>
      <c r="D15" s="7">
        <f>D14/(1+$D$8)^D13</f>
        <v>100</v>
      </c>
      <c r="E15" s="7">
        <f>E14/(1+$D$8)^E13</f>
        <v>97.087378640776691</v>
      </c>
      <c r="F15" s="7">
        <f t="shared" ref="F15:N15" si="0">F14/(1+$D$8)^F13</f>
        <v>94.259590913375433</v>
      </c>
      <c r="G15" s="7">
        <f t="shared" si="0"/>
        <v>91.514165935315958</v>
      </c>
      <c r="H15" s="7">
        <f t="shared" si="0"/>
        <v>88.848704791568892</v>
      </c>
      <c r="I15" s="7">
        <f t="shared" si="0"/>
        <v>86.260878438416412</v>
      </c>
      <c r="J15" s="7">
        <f t="shared" si="0"/>
        <v>83.748425668365442</v>
      </c>
      <c r="K15" s="7">
        <f t="shared" si="0"/>
        <v>81.30915113433538</v>
      </c>
      <c r="L15" s="7">
        <f t="shared" si="0"/>
        <v>78.940923431393571</v>
      </c>
      <c r="M15" s="7">
        <f t="shared" si="0"/>
        <v>76.641673234362699</v>
      </c>
      <c r="N15" s="7">
        <f t="shared" si="0"/>
        <v>74.409391489672515</v>
      </c>
    </row>
    <row r="16" spans="3:14" ht="43.5" x14ac:dyDescent="0.35">
      <c r="C16" s="2" t="s">
        <v>57</v>
      </c>
      <c r="D16" s="7">
        <f>D14/(1+$D$7)^D13</f>
        <v>100</v>
      </c>
      <c r="E16" s="7">
        <f t="shared" ref="E16:N16" si="1">E14/(1+$D$7)^E13</f>
        <v>91.743119266055032</v>
      </c>
      <c r="F16" s="7">
        <f t="shared" si="1"/>
        <v>84.167999326655988</v>
      </c>
      <c r="G16" s="7">
        <f t="shared" si="1"/>
        <v>77.21834800610641</v>
      </c>
      <c r="H16" s="7">
        <f t="shared" si="1"/>
        <v>70.842521106519641</v>
      </c>
      <c r="I16" s="7">
        <f t="shared" si="1"/>
        <v>64.993138629834533</v>
      </c>
      <c r="J16" s="7">
        <f t="shared" si="1"/>
        <v>59.626732687921582</v>
      </c>
      <c r="K16" s="7">
        <f t="shared" si="1"/>
        <v>54.703424484331727</v>
      </c>
      <c r="L16" s="7">
        <f t="shared" si="1"/>
        <v>50.186627967276813</v>
      </c>
      <c r="M16" s="7">
        <f t="shared" si="1"/>
        <v>46.0427779516301</v>
      </c>
      <c r="N16" s="7">
        <f t="shared" si="1"/>
        <v>42.241080689568889</v>
      </c>
    </row>
    <row r="17" spans="3:14" ht="58" x14ac:dyDescent="0.35">
      <c r="C17" s="2" t="s">
        <v>58</v>
      </c>
      <c r="D17" s="9">
        <f>D15/(1+$D$7)^D13</f>
        <v>100</v>
      </c>
      <c r="E17" s="9">
        <f t="shared" ref="E17:N17" si="2">E15/(1+$D$7)^E13</f>
        <v>89.07098957869421</v>
      </c>
      <c r="F17" s="9">
        <f t="shared" si="2"/>
        <v>79.336411845278533</v>
      </c>
      <c r="G17" s="9">
        <f t="shared" si="2"/>
        <v>70.66572712681797</v>
      </c>
      <c r="H17" s="9">
        <f t="shared" si="2"/>
        <v>62.942662444836522</v>
      </c>
      <c r="I17" s="9">
        <f t="shared" si="2"/>
        <v>56.063652306793024</v>
      </c>
      <c r="J17" s="9">
        <f t="shared" si="2"/>
        <v>49.936449903618964</v>
      </c>
      <c r="K17" s="9">
        <f t="shared" si="2"/>
        <v>44.478890089622311</v>
      </c>
      <c r="L17" s="9">
        <f t="shared" si="2"/>
        <v>39.617787556446338</v>
      </c>
      <c r="M17" s="9">
        <f t="shared" si="2"/>
        <v>35.287955425711537</v>
      </c>
      <c r="N17" s="9">
        <f t="shared" si="2"/>
        <v>31.431331099769775</v>
      </c>
    </row>
    <row r="18" spans="3:14" x14ac:dyDescent="0.35">
      <c r="C18" t="s">
        <v>59</v>
      </c>
      <c r="D18" s="9">
        <f>D14/(1+$D$9)^D13</f>
        <v>100</v>
      </c>
      <c r="E18" s="9">
        <f t="shared" ref="E18:N18" si="3">E14/(1+$D$9)^E13</f>
        <v>89.07098957869421</v>
      </c>
      <c r="F18" s="9">
        <f t="shared" si="3"/>
        <v>79.336411845278533</v>
      </c>
      <c r="G18" s="9">
        <f t="shared" si="3"/>
        <v>70.66572712681797</v>
      </c>
      <c r="H18" s="9">
        <f t="shared" si="3"/>
        <v>62.942662444836522</v>
      </c>
      <c r="I18" s="9">
        <f t="shared" si="3"/>
        <v>56.063652306793017</v>
      </c>
      <c r="J18" s="9">
        <f t="shared" si="3"/>
        <v>49.936449903618964</v>
      </c>
      <c r="K18" s="9">
        <f t="shared" si="3"/>
        <v>44.478890089622304</v>
      </c>
      <c r="L18" s="9">
        <f t="shared" si="3"/>
        <v>39.617787556446338</v>
      </c>
      <c r="M18" s="9">
        <f t="shared" si="3"/>
        <v>35.28795542571153</v>
      </c>
      <c r="N18" s="9">
        <f t="shared" si="3"/>
        <v>31.431331099769778</v>
      </c>
    </row>
    <row r="21" spans="3:14" x14ac:dyDescent="0.35">
      <c r="C21" t="s">
        <v>69</v>
      </c>
      <c r="D21">
        <f>(1+$D$9)^(1/365)-1</f>
        <v>3.1713657438636744E-4</v>
      </c>
    </row>
    <row r="23" spans="3:14" x14ac:dyDescent="0.35">
      <c r="F23" s="8">
        <f>NPV($D$21,F27:F33)</f>
        <v>27421.046047656509</v>
      </c>
    </row>
    <row r="24" spans="3:14" x14ac:dyDescent="0.35">
      <c r="D24" s="8">
        <f>NPV($D$21,D27:D33)</f>
        <v>27456.893951457372</v>
      </c>
      <c r="F24" s="10">
        <f>SUM(F27:F33)</f>
        <v>27465.601536748472</v>
      </c>
      <c r="G24" s="10">
        <f>SUM(G27:G33)</f>
        <v>27456.893951457416</v>
      </c>
    </row>
    <row r="26" spans="3:14" x14ac:dyDescent="0.35">
      <c r="D26" t="s">
        <v>67</v>
      </c>
      <c r="F26" t="s">
        <v>68</v>
      </c>
    </row>
    <row r="27" spans="3:14" x14ac:dyDescent="0.35">
      <c r="C27" t="s">
        <v>60</v>
      </c>
      <c r="D27">
        <v>-1321.79352757989</v>
      </c>
      <c r="E27">
        <v>0</v>
      </c>
      <c r="F27">
        <v>-1321.79352757989</v>
      </c>
      <c r="G27">
        <f>F27/(1+$D$21)</f>
        <v>-1321.3744714065465</v>
      </c>
    </row>
    <row r="28" spans="3:14" x14ac:dyDescent="0.35">
      <c r="C28" t="s">
        <v>61</v>
      </c>
      <c r="D28">
        <v>4238.5786612740903</v>
      </c>
      <c r="E28">
        <v>1</v>
      </c>
      <c r="F28">
        <v>4237.23487911965</v>
      </c>
      <c r="G28">
        <f t="shared" ref="G28:G33" si="4">F28/(1+$D$21)</f>
        <v>4235.891522992576</v>
      </c>
    </row>
    <row r="29" spans="3:14" x14ac:dyDescent="0.35">
      <c r="C29" t="s">
        <v>62</v>
      </c>
      <c r="D29">
        <v>4991.8046970836203</v>
      </c>
      <c r="E29">
        <v>2</v>
      </c>
      <c r="F29">
        <v>4988.6400349250798</v>
      </c>
      <c r="G29">
        <f t="shared" si="4"/>
        <v>4987.0584562899876</v>
      </c>
    </row>
    <row r="30" spans="3:14" x14ac:dyDescent="0.35">
      <c r="C30" t="s">
        <v>63</v>
      </c>
      <c r="D30">
        <v>2899.1458080498701</v>
      </c>
      <c r="E30">
        <v>3</v>
      </c>
      <c r="F30">
        <v>2896.3892811150499</v>
      </c>
      <c r="G30">
        <f t="shared" si="4"/>
        <v>2895.4710213541025</v>
      </c>
    </row>
    <row r="31" spans="3:14" x14ac:dyDescent="0.35">
      <c r="C31" t="s">
        <v>64</v>
      </c>
      <c r="D31">
        <v>3308.9694886176399</v>
      </c>
      <c r="E31">
        <v>4</v>
      </c>
      <c r="F31">
        <v>3304.77523353061</v>
      </c>
      <c r="G31">
        <f t="shared" si="4"/>
        <v>3303.7275007083294</v>
      </c>
    </row>
    <row r="32" spans="3:14" x14ac:dyDescent="0.35">
      <c r="C32" t="s">
        <v>65</v>
      </c>
      <c r="D32">
        <v>3112.7646804050801</v>
      </c>
      <c r="E32">
        <v>5</v>
      </c>
      <c r="F32">
        <v>3107.8335153171702</v>
      </c>
      <c r="G32">
        <f t="shared" si="4"/>
        <v>3106.8482201155043</v>
      </c>
    </row>
    <row r="33" spans="3:7" x14ac:dyDescent="0.35">
      <c r="C33" t="s">
        <v>66</v>
      </c>
      <c r="D33">
        <v>10272.046292631499</v>
      </c>
      <c r="E33">
        <v>6</v>
      </c>
      <c r="F33">
        <v>10252.5221203208</v>
      </c>
      <c r="G33">
        <f t="shared" si="4"/>
        <v>10249.271701403462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7383-93F1-4A89-ADDC-6C660E4D1DF1}">
  <dimension ref="B2:E9"/>
  <sheetViews>
    <sheetView tabSelected="1" workbookViewId="0">
      <selection activeCell="C13" sqref="C13"/>
    </sheetView>
  </sheetViews>
  <sheetFormatPr defaultRowHeight="14.5" x14ac:dyDescent="0.35"/>
  <cols>
    <col min="2" max="2" width="21.36328125" bestFit="1" customWidth="1"/>
    <col min="3" max="3" width="14.81640625" bestFit="1" customWidth="1"/>
  </cols>
  <sheetData>
    <row r="2" spans="2:5" x14ac:dyDescent="0.35">
      <c r="B2" s="4" t="s">
        <v>30</v>
      </c>
      <c r="C2" s="4" t="s">
        <v>33</v>
      </c>
      <c r="D2" s="4" t="s">
        <v>4</v>
      </c>
      <c r="E2" s="4" t="s">
        <v>70</v>
      </c>
    </row>
    <row r="3" spans="2:5" x14ac:dyDescent="0.35">
      <c r="B3" t="s">
        <v>72</v>
      </c>
      <c r="C3">
        <v>20</v>
      </c>
      <c r="D3" t="s">
        <v>73</v>
      </c>
    </row>
    <row r="4" spans="2:5" x14ac:dyDescent="0.35">
      <c r="B4" t="s">
        <v>71</v>
      </c>
      <c r="C4">
        <f>C3*365</f>
        <v>7300</v>
      </c>
      <c r="D4" t="s">
        <v>74</v>
      </c>
      <c r="E4" t="s">
        <v>75</v>
      </c>
    </row>
    <row r="5" spans="2:5" x14ac:dyDescent="0.35">
      <c r="B5" t="s">
        <v>76</v>
      </c>
      <c r="C5">
        <v>180</v>
      </c>
      <c r="D5" t="s">
        <v>22</v>
      </c>
      <c r="E5" t="s">
        <v>77</v>
      </c>
    </row>
    <row r="6" spans="2:5" x14ac:dyDescent="0.35">
      <c r="B6" t="s">
        <v>78</v>
      </c>
      <c r="C6">
        <v>60</v>
      </c>
      <c r="D6" t="s">
        <v>48</v>
      </c>
    </row>
    <row r="7" spans="2:5" x14ac:dyDescent="0.35">
      <c r="B7" t="s">
        <v>79</v>
      </c>
      <c r="C7" s="5">
        <v>0.95</v>
      </c>
      <c r="D7" t="s">
        <v>27</v>
      </c>
      <c r="E7" t="s">
        <v>77</v>
      </c>
    </row>
    <row r="9" spans="2:5" ht="29" x14ac:dyDescent="0.35">
      <c r="B9" s="2" t="s">
        <v>80</v>
      </c>
      <c r="C9" s="11">
        <f>2*C4*C6*C7*C5</f>
        <v>149796000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7F85-029F-427F-B581-2C541820155A}">
  <dimension ref="B3:G24"/>
  <sheetViews>
    <sheetView workbookViewId="0">
      <selection activeCell="T10" sqref="T10"/>
    </sheetView>
  </sheetViews>
  <sheetFormatPr defaultRowHeight="14.5" x14ac:dyDescent="0.35"/>
  <cols>
    <col min="2" max="2" width="13.08984375" customWidth="1"/>
    <col min="3" max="3" width="33.7265625" customWidth="1"/>
    <col min="4" max="4" width="15.90625" bestFit="1" customWidth="1"/>
    <col min="5" max="5" width="15.54296875" customWidth="1"/>
    <col min="6" max="6" width="17.7265625" customWidth="1"/>
  </cols>
  <sheetData>
    <row r="3" spans="2:7" x14ac:dyDescent="0.35">
      <c r="B3" s="3" t="s">
        <v>28</v>
      </c>
      <c r="C3" s="3"/>
      <c r="D3" s="3"/>
      <c r="E3" s="3"/>
      <c r="F3" s="3"/>
      <c r="G3" s="3"/>
    </row>
    <row r="4" spans="2:7" x14ac:dyDescent="0.35">
      <c r="B4" t="s">
        <v>0</v>
      </c>
      <c r="C4" t="s">
        <v>5</v>
      </c>
      <c r="D4" t="s">
        <v>1</v>
      </c>
      <c r="E4" t="s">
        <v>2</v>
      </c>
      <c r="F4" t="s">
        <v>3</v>
      </c>
      <c r="G4" t="s">
        <v>4</v>
      </c>
    </row>
    <row r="5" spans="2:7" x14ac:dyDescent="0.35">
      <c r="B5" t="s">
        <v>6</v>
      </c>
      <c r="C5" s="2" t="s">
        <v>7</v>
      </c>
      <c r="D5" t="b">
        <v>1</v>
      </c>
      <c r="E5" s="1" t="s">
        <v>10</v>
      </c>
      <c r="F5" t="s">
        <v>11</v>
      </c>
      <c r="G5" t="s">
        <v>12</v>
      </c>
    </row>
    <row r="6" spans="2:7" x14ac:dyDescent="0.35">
      <c r="B6" t="s">
        <v>8</v>
      </c>
      <c r="C6" s="2" t="s">
        <v>9</v>
      </c>
      <c r="D6" t="b">
        <v>1</v>
      </c>
      <c r="E6">
        <v>0</v>
      </c>
      <c r="F6" t="s">
        <v>11</v>
      </c>
      <c r="G6" t="s">
        <v>12</v>
      </c>
    </row>
    <row r="7" spans="2:7" x14ac:dyDescent="0.35">
      <c r="B7" t="s">
        <v>13</v>
      </c>
      <c r="C7" s="2" t="s">
        <v>14</v>
      </c>
      <c r="D7" t="b">
        <v>1</v>
      </c>
      <c r="E7">
        <v>0</v>
      </c>
      <c r="F7" t="s">
        <v>15</v>
      </c>
      <c r="G7" t="s">
        <v>12</v>
      </c>
    </row>
    <row r="8" spans="2:7" x14ac:dyDescent="0.35">
      <c r="B8" t="s">
        <v>16</v>
      </c>
      <c r="C8" s="2" t="s">
        <v>17</v>
      </c>
      <c r="D8" t="b">
        <v>1</v>
      </c>
      <c r="E8" s="1"/>
      <c r="G8" t="s">
        <v>12</v>
      </c>
    </row>
    <row r="9" spans="2:7" x14ac:dyDescent="0.35">
      <c r="B9" t="s">
        <v>18</v>
      </c>
      <c r="C9" s="2" t="s">
        <v>19</v>
      </c>
      <c r="D9" s="4" t="b">
        <v>0</v>
      </c>
      <c r="G9" t="s">
        <v>12</v>
      </c>
    </row>
    <row r="10" spans="2:7" ht="29" x14ac:dyDescent="0.35">
      <c r="B10" t="s">
        <v>20</v>
      </c>
      <c r="C10" s="2" t="s">
        <v>21</v>
      </c>
      <c r="D10" s="4" t="b">
        <v>0</v>
      </c>
      <c r="G10" t="s">
        <v>22</v>
      </c>
    </row>
    <row r="11" spans="2:7" x14ac:dyDescent="0.35">
      <c r="B11" t="s">
        <v>23</v>
      </c>
      <c r="C11" s="2" t="s">
        <v>24</v>
      </c>
      <c r="D11" t="b">
        <v>1</v>
      </c>
      <c r="E11" t="s">
        <v>25</v>
      </c>
      <c r="F11" t="s">
        <v>26</v>
      </c>
      <c r="G11" t="s">
        <v>27</v>
      </c>
    </row>
    <row r="12" spans="2:7" x14ac:dyDescent="0.35">
      <c r="C12" s="2"/>
    </row>
    <row r="13" spans="2:7" x14ac:dyDescent="0.35">
      <c r="C13" s="2"/>
    </row>
    <row r="14" spans="2:7" x14ac:dyDescent="0.35">
      <c r="B14" s="3" t="s">
        <v>29</v>
      </c>
      <c r="C14" s="3"/>
      <c r="D14" s="3"/>
      <c r="E14" s="3"/>
      <c r="F14" s="3"/>
      <c r="G14" s="3"/>
    </row>
    <row r="15" spans="2:7" x14ac:dyDescent="0.35">
      <c r="B15" t="s">
        <v>30</v>
      </c>
      <c r="C15" t="s">
        <v>5</v>
      </c>
      <c r="D15" t="s">
        <v>33</v>
      </c>
      <c r="E15" t="s">
        <v>4</v>
      </c>
    </row>
    <row r="16" spans="2:7" x14ac:dyDescent="0.35">
      <c r="B16" t="s">
        <v>31</v>
      </c>
      <c r="C16" s="2" t="s">
        <v>32</v>
      </c>
      <c r="D16">
        <v>1</v>
      </c>
      <c r="E16" t="s">
        <v>34</v>
      </c>
    </row>
    <row r="17" spans="2:5" x14ac:dyDescent="0.35">
      <c r="B17" t="s">
        <v>11</v>
      </c>
      <c r="C17" s="2" t="s">
        <v>35</v>
      </c>
      <c r="D17">
        <v>22.5</v>
      </c>
      <c r="E17" t="s">
        <v>12</v>
      </c>
    </row>
    <row r="18" spans="2:5" x14ac:dyDescent="0.35">
      <c r="B18" t="s">
        <v>15</v>
      </c>
      <c r="C18" s="2" t="s">
        <v>36</v>
      </c>
      <c r="D18">
        <v>22.5</v>
      </c>
      <c r="E18" t="s">
        <v>12</v>
      </c>
    </row>
    <row r="19" spans="2:5" x14ac:dyDescent="0.35">
      <c r="B19" t="s">
        <v>25</v>
      </c>
      <c r="C19" s="2" t="s">
        <v>37</v>
      </c>
      <c r="D19">
        <v>0.1</v>
      </c>
      <c r="E19" t="s">
        <v>27</v>
      </c>
    </row>
    <row r="20" spans="2:5" x14ac:dyDescent="0.35">
      <c r="B20" t="s">
        <v>26</v>
      </c>
      <c r="C20" s="2" t="s">
        <v>38</v>
      </c>
      <c r="D20">
        <v>0.85</v>
      </c>
      <c r="E20" t="s">
        <v>27</v>
      </c>
    </row>
    <row r="21" spans="2:5" x14ac:dyDescent="0.35">
      <c r="B21" t="s">
        <v>39</v>
      </c>
      <c r="C21" s="2" t="s">
        <v>40</v>
      </c>
      <c r="D21">
        <v>1E-4</v>
      </c>
      <c r="E21" t="s">
        <v>41</v>
      </c>
    </row>
    <row r="22" spans="2:5" ht="43.5" x14ac:dyDescent="0.35">
      <c r="B22" t="s">
        <v>42</v>
      </c>
      <c r="C22" s="2" t="s">
        <v>43</v>
      </c>
      <c r="D22">
        <v>0.95</v>
      </c>
      <c r="E22" t="s">
        <v>27</v>
      </c>
    </row>
    <row r="23" spans="2:5" ht="58" x14ac:dyDescent="0.35">
      <c r="B23" t="s">
        <v>44</v>
      </c>
      <c r="C23" s="2" t="s">
        <v>45</v>
      </c>
      <c r="D23">
        <v>60</v>
      </c>
      <c r="E23" t="s">
        <v>48</v>
      </c>
    </row>
    <row r="24" spans="2:5" x14ac:dyDescent="0.35">
      <c r="B24" t="s">
        <v>46</v>
      </c>
      <c r="C24" s="2" t="s">
        <v>47</v>
      </c>
      <c r="D24">
        <v>0.5</v>
      </c>
      <c r="E24" t="s">
        <v>27</v>
      </c>
    </row>
  </sheetData>
  <mergeCells count="2">
    <mergeCell ref="B3:G3"/>
    <mergeCell ref="B14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First-Order Estimate</vt:lpstr>
      <vt:lpstr>Model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Stayner</dc:creator>
  <cp:lastModifiedBy>John Stayner</cp:lastModifiedBy>
  <dcterms:created xsi:type="dcterms:W3CDTF">2025-12-22T00:49:52Z</dcterms:created>
  <dcterms:modified xsi:type="dcterms:W3CDTF">2025-12-22T06:00:46Z</dcterms:modified>
</cp:coreProperties>
</file>