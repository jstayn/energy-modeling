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sta\code\energy-modeling\data\"/>
    </mc:Choice>
  </mc:AlternateContent>
  <xr:revisionPtr revIDLastSave="0" documentId="13_ncr:1_{C59CEA6C-D4B4-4344-9E77-0C8D3090A9B7}" xr6:coauthVersionLast="47" xr6:coauthVersionMax="47" xr10:uidLastSave="{00000000-0000-0000-0000-000000000000}"/>
  <bookViews>
    <workbookView xWindow="-110" yWindow="-110" windowWidth="25820" windowHeight="15500" activeTab="1" xr2:uid="{673B1CAA-5412-438B-9658-9FFB10C918E8}"/>
  </bookViews>
  <sheets>
    <sheet name="Time-Series Data" sheetId="1" r:id="rId1"/>
    <sheet name="Scalar 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6" i="2" s="1"/>
  <c r="I7" i="2" s="1"/>
  <c r="I8" i="2" s="1"/>
  <c r="I9" i="2" s="1"/>
  <c r="I10" i="2" s="1"/>
  <c r="I11" i="2" s="1"/>
  <c r="I12" i="2" s="1"/>
  <c r="I4" i="2"/>
  <c r="G12" i="2"/>
  <c r="F12" i="2"/>
  <c r="F11" i="2"/>
  <c r="G11" i="2" s="1"/>
  <c r="G10" i="2"/>
  <c r="F10" i="2"/>
  <c r="F9" i="2"/>
  <c r="G9" i="2" s="1"/>
  <c r="F8" i="2"/>
  <c r="G8" i="2" s="1"/>
  <c r="F7" i="2"/>
  <c r="G7" i="2" s="1"/>
  <c r="G6" i="2"/>
  <c r="F6" i="2"/>
  <c r="F5" i="2"/>
  <c r="G5" i="2" s="1"/>
  <c r="F4" i="2"/>
  <c r="G4" i="2" s="1"/>
  <c r="F3" i="2"/>
  <c r="G3" i="2" s="1"/>
</calcChain>
</file>

<file path=xl/sharedStrings.xml><?xml version="1.0" encoding="utf-8"?>
<sst xmlns="http://schemas.openxmlformats.org/spreadsheetml/2006/main" count="190" uniqueCount="190">
  <si>
    <t>Capacity (MWh)</t>
  </si>
  <si>
    <t>Hour Rating (hrs)</t>
  </si>
  <si>
    <t>Minimum SOC</t>
  </si>
  <si>
    <t>Maximum SOC</t>
  </si>
  <si>
    <t>Maximum Discharge (MW)</t>
  </si>
  <si>
    <t>Maximum Charge (MW)</t>
  </si>
  <si>
    <t>Self-Discharge (%/hr)</t>
  </si>
  <si>
    <t>Starting/Ending SOC</t>
  </si>
  <si>
    <t>One-Way Conversion Efficiency (%)</t>
  </si>
  <si>
    <t>INTERVAL_START</t>
  </si>
  <si>
    <t>LMP</t>
  </si>
  <si>
    <t>2022-12-01 00:00:00+00:00</t>
  </si>
  <si>
    <t>2022-12-01 01:00:00+00:00</t>
  </si>
  <si>
    <t>2022-12-01 02:00:00+00:00</t>
  </si>
  <si>
    <t>2022-12-01 03:00:00+00:00</t>
  </si>
  <si>
    <t>2022-12-01 04:00:00+00:00</t>
  </si>
  <si>
    <t>2022-12-01 05:00:00+00:00</t>
  </si>
  <si>
    <t>2022-12-01 06:00:00+00:00</t>
  </si>
  <si>
    <t>2022-12-01 07:00:00+00:00</t>
  </si>
  <si>
    <t>2022-12-01 08:00:00+00:00</t>
  </si>
  <si>
    <t>2022-12-01 09:00:00+00:00</t>
  </si>
  <si>
    <t>2022-12-01 10:00:00+00:00</t>
  </si>
  <si>
    <t>2022-12-01 11:00:00+00:00</t>
  </si>
  <si>
    <t>2022-12-01 12:00:00+00:00</t>
  </si>
  <si>
    <t>2022-12-01 13:00:00+00:00</t>
  </si>
  <si>
    <t>2022-12-01 14:00:00+00:00</t>
  </si>
  <si>
    <t>2022-12-01 15:00:00+00:00</t>
  </si>
  <si>
    <t>2022-12-01 16:00:00+00:00</t>
  </si>
  <si>
    <t>2022-12-01 17:00:00+00:00</t>
  </si>
  <si>
    <t>2022-12-01 18:00:00+00:00</t>
  </si>
  <si>
    <t>2022-12-01 19:00:00+00:00</t>
  </si>
  <si>
    <t>2022-12-01 20:00:00+00:00</t>
  </si>
  <si>
    <t>2022-12-01 21:00:00+00:00</t>
  </si>
  <si>
    <t>2022-12-01 22:00:00+00:00</t>
  </si>
  <si>
    <t>2022-12-01 23:00:00+00:00</t>
  </si>
  <si>
    <t>2022-12-02 00:00:00+00:00</t>
  </si>
  <si>
    <t>2022-12-02 01:00:00+00:00</t>
  </si>
  <si>
    <t>2022-12-02 02:00:00+00:00</t>
  </si>
  <si>
    <t>2022-12-02 03:00:00+00:00</t>
  </si>
  <si>
    <t>2022-12-02 04:00:00+00:00</t>
  </si>
  <si>
    <t>2022-12-02 05:00:00+00:00</t>
  </si>
  <si>
    <t>2022-12-02 06:00:00+00:00</t>
  </si>
  <si>
    <t>2022-12-02 07:00:00+00:00</t>
  </si>
  <si>
    <t>2022-12-02 08:00:00+00:00</t>
  </si>
  <si>
    <t>2022-12-02 09:00:00+00:00</t>
  </si>
  <si>
    <t>2022-12-02 10:00:00+00:00</t>
  </si>
  <si>
    <t>2022-12-02 11:00:00+00:00</t>
  </si>
  <si>
    <t>2022-12-02 12:00:00+00:00</t>
  </si>
  <si>
    <t>2022-12-02 13:00:00+00:00</t>
  </si>
  <si>
    <t>2022-12-02 14:00:00+00:00</t>
  </si>
  <si>
    <t>2022-12-02 15:00:00+00:00</t>
  </si>
  <si>
    <t>2022-12-02 16:00:00+00:00</t>
  </si>
  <si>
    <t>2022-12-02 17:00:00+00:00</t>
  </si>
  <si>
    <t>2022-12-02 18:00:00+00:00</t>
  </si>
  <si>
    <t>2022-12-02 19:00:00+00:00</t>
  </si>
  <si>
    <t>2022-12-02 20:00:00+00:00</t>
  </si>
  <si>
    <t>2022-12-02 21:00:00+00:00</t>
  </si>
  <si>
    <t>2022-12-02 22:00:00+00:00</t>
  </si>
  <si>
    <t>2022-12-02 23:00:00+00:00</t>
  </si>
  <si>
    <t>2022-12-03 00:00:00+00:00</t>
  </si>
  <si>
    <t>2022-12-03 01:00:00+00:00</t>
  </si>
  <si>
    <t>2022-12-03 02:00:00+00:00</t>
  </si>
  <si>
    <t>2022-12-03 03:00:00+00:00</t>
  </si>
  <si>
    <t>2022-12-03 04:00:00+00:00</t>
  </si>
  <si>
    <t>2022-12-03 05:00:00+00:00</t>
  </si>
  <si>
    <t>2022-12-03 06:00:00+00:00</t>
  </si>
  <si>
    <t>2022-12-03 07:00:00+00:00</t>
  </si>
  <si>
    <t>2022-12-03 08:00:00+00:00</t>
  </si>
  <si>
    <t>2022-12-03 09:00:00+00:00</t>
  </si>
  <si>
    <t>2022-12-03 10:00:00+00:00</t>
  </si>
  <si>
    <t>2022-12-03 11:00:00+00:00</t>
  </si>
  <si>
    <t>2022-12-03 12:00:00+00:00</t>
  </si>
  <si>
    <t>2022-12-03 13:00:00+00:00</t>
  </si>
  <si>
    <t>2022-12-03 14:00:00+00:00</t>
  </si>
  <si>
    <t>2022-12-03 15:00:00+00:00</t>
  </si>
  <si>
    <t>2022-12-03 16:00:00+00:00</t>
  </si>
  <si>
    <t>2022-12-03 17:00:00+00:00</t>
  </si>
  <si>
    <t>2022-12-03 18:00:00+00:00</t>
  </si>
  <si>
    <t>2022-12-03 19:00:00+00:00</t>
  </si>
  <si>
    <t>2022-12-03 20:00:00+00:00</t>
  </si>
  <si>
    <t>2022-12-03 21:00:00+00:00</t>
  </si>
  <si>
    <t>2022-12-03 22:00:00+00:00</t>
  </si>
  <si>
    <t>2022-12-03 23:00:00+00:00</t>
  </si>
  <si>
    <t>2022-12-04 00:00:00+00:00</t>
  </si>
  <si>
    <t>2022-12-04 01:00:00+00:00</t>
  </si>
  <si>
    <t>2022-12-04 02:00:00+00:00</t>
  </si>
  <si>
    <t>2022-12-04 03:00:00+00:00</t>
  </si>
  <si>
    <t>2022-12-04 04:00:00+00:00</t>
  </si>
  <si>
    <t>2022-12-04 05:00:00+00:00</t>
  </si>
  <si>
    <t>2022-12-04 06:00:00+00:00</t>
  </si>
  <si>
    <t>2022-12-04 07:00:00+00:00</t>
  </si>
  <si>
    <t>2022-12-04 08:00:00+00:00</t>
  </si>
  <si>
    <t>2022-12-04 09:00:00+00:00</t>
  </si>
  <si>
    <t>2022-12-04 10:00:00+00:00</t>
  </si>
  <si>
    <t>2022-12-04 11:00:00+00:00</t>
  </si>
  <si>
    <t>2022-12-04 12:00:00+00:00</t>
  </si>
  <si>
    <t>2022-12-04 13:00:00+00:00</t>
  </si>
  <si>
    <t>2022-12-04 14:00:00+00:00</t>
  </si>
  <si>
    <t>2022-12-04 15:00:00+00:00</t>
  </si>
  <si>
    <t>2022-12-04 16:00:00+00:00</t>
  </si>
  <si>
    <t>2022-12-04 17:00:00+00:00</t>
  </si>
  <si>
    <t>2022-12-04 18:00:00+00:00</t>
  </si>
  <si>
    <t>2022-12-04 19:00:00+00:00</t>
  </si>
  <si>
    <t>2022-12-04 20:00:00+00:00</t>
  </si>
  <si>
    <t>2022-12-04 21:00:00+00:00</t>
  </si>
  <si>
    <t>2022-12-04 22:00:00+00:00</t>
  </si>
  <si>
    <t>2022-12-04 23:00:00+00:00</t>
  </si>
  <si>
    <t>2022-12-05 00:00:00+00:00</t>
  </si>
  <si>
    <t>2022-12-05 01:00:00+00:00</t>
  </si>
  <si>
    <t>2022-12-05 02:00:00+00:00</t>
  </si>
  <si>
    <t>2022-12-05 03:00:00+00:00</t>
  </si>
  <si>
    <t>2022-12-05 04:00:00+00:00</t>
  </si>
  <si>
    <t>2022-12-05 05:00:00+00:00</t>
  </si>
  <si>
    <t>2022-12-05 06:00:00+00:00</t>
  </si>
  <si>
    <t>2022-12-05 07:00:00+00:00</t>
  </si>
  <si>
    <t>2022-12-05 08:00:00+00:00</t>
  </si>
  <si>
    <t>2022-12-05 09:00:00+00:00</t>
  </si>
  <si>
    <t>2022-12-05 10:00:00+00:00</t>
  </si>
  <si>
    <t>2022-12-05 11:00:00+00:00</t>
  </si>
  <si>
    <t>2022-12-05 12:00:00+00:00</t>
  </si>
  <si>
    <t>2022-12-05 13:00:00+00:00</t>
  </si>
  <si>
    <t>2022-12-05 14:00:00+00:00</t>
  </si>
  <si>
    <t>2022-12-05 15:00:00+00:00</t>
  </si>
  <si>
    <t>2022-12-05 16:00:00+00:00</t>
  </si>
  <si>
    <t>2022-12-05 17:00:00+00:00</t>
  </si>
  <si>
    <t>2022-12-05 18:00:00+00:00</t>
  </si>
  <si>
    <t>2022-12-05 19:00:00+00:00</t>
  </si>
  <si>
    <t>2022-12-05 20:00:00+00:00</t>
  </si>
  <si>
    <t>2022-12-05 21:00:00+00:00</t>
  </si>
  <si>
    <t>2022-12-05 22:00:00+00:00</t>
  </si>
  <si>
    <t>2022-12-05 23:00:00+00:00</t>
  </si>
  <si>
    <t>2022-12-06 00:00:00+00:00</t>
  </si>
  <si>
    <t>2022-12-06 01:00:00+00:00</t>
  </si>
  <si>
    <t>2022-12-06 02:00:00+00:00</t>
  </si>
  <si>
    <t>2022-12-06 03:00:00+00:00</t>
  </si>
  <si>
    <t>2022-12-06 04:00:00+00:00</t>
  </si>
  <si>
    <t>2022-12-06 05:00:00+00:00</t>
  </si>
  <si>
    <t>2022-12-06 06:00:00+00:00</t>
  </si>
  <si>
    <t>2022-12-06 07:00:00+00:00</t>
  </si>
  <si>
    <t>2022-12-06 08:00:00+00:00</t>
  </si>
  <si>
    <t>2022-12-06 09:00:00+00:00</t>
  </si>
  <si>
    <t>2022-12-06 10:00:00+00:00</t>
  </si>
  <si>
    <t>2022-12-06 11:00:00+00:00</t>
  </si>
  <si>
    <t>2022-12-06 12:00:00+00:00</t>
  </si>
  <si>
    <t>2022-12-06 13:00:00+00:00</t>
  </si>
  <si>
    <t>2022-12-06 14:00:00+00:00</t>
  </si>
  <si>
    <t>2022-12-06 15:00:00+00:00</t>
  </si>
  <si>
    <t>2022-12-06 16:00:00+00:00</t>
  </si>
  <si>
    <t>2022-12-06 17:00:00+00:00</t>
  </si>
  <si>
    <t>2022-12-06 18:00:00+00:00</t>
  </si>
  <si>
    <t>2022-12-06 19:00:00+00:00</t>
  </si>
  <si>
    <t>2022-12-06 20:00:00+00:00</t>
  </si>
  <si>
    <t>2022-12-06 21:00:00+00:00</t>
  </si>
  <si>
    <t>2022-12-06 22:00:00+00:00</t>
  </si>
  <si>
    <t>2022-12-06 23:00:00+00:00</t>
  </si>
  <si>
    <t>2022-12-07 00:00:00+00:00</t>
  </si>
  <si>
    <t>2022-12-07 01:00:00+00:00</t>
  </si>
  <si>
    <t>2022-12-07 02:00:00+00:00</t>
  </si>
  <si>
    <t>2022-12-07 03:00:00+00:00</t>
  </si>
  <si>
    <t>2022-12-07 04:00:00+00:00</t>
  </si>
  <si>
    <t>2022-12-07 05:00:00+00:00</t>
  </si>
  <si>
    <t>2022-12-07 06:00:00+00:00</t>
  </si>
  <si>
    <t>2022-12-07 07:00:00+00:00</t>
  </si>
  <si>
    <t>2022-12-07 08:00:00+00:00</t>
  </si>
  <si>
    <t>2022-12-07 09:00:00+00:00</t>
  </si>
  <si>
    <t>2022-12-07 10:00:00+00:00</t>
  </si>
  <si>
    <t>2022-12-07 11:00:00+00:00</t>
  </si>
  <si>
    <t>2022-12-07 12:00:00+00:00</t>
  </si>
  <si>
    <t>2022-12-07 13:00:00+00:00</t>
  </si>
  <si>
    <t>2022-12-07 14:00:00+00:00</t>
  </si>
  <si>
    <t>2022-12-07 15:00:00+00:00</t>
  </si>
  <si>
    <t>2022-12-07 16:00:00+00:00</t>
  </si>
  <si>
    <t>2022-12-07 17:00:00+00:00</t>
  </si>
  <si>
    <t>2022-12-07 18:00:00+00:00</t>
  </si>
  <si>
    <t>2022-12-07 19:00:00+00:00</t>
  </si>
  <si>
    <t>2022-12-07 20:00:00+00:00</t>
  </si>
  <si>
    <t>2022-12-07 21:00:00+00:00</t>
  </si>
  <si>
    <t>2022-12-07 22:00:00+00:00</t>
  </si>
  <si>
    <t>2022-12-07 23:00:00+00:00</t>
  </si>
  <si>
    <t>load</t>
  </si>
  <si>
    <t>Time Step (hours)</t>
  </si>
  <si>
    <t>Loan Term (yrs)</t>
  </si>
  <si>
    <t>Battery System Cost ($)</t>
  </si>
  <si>
    <t>Loan APR (%)</t>
  </si>
  <si>
    <t>Real Discount Rate (%)</t>
  </si>
  <si>
    <t>Inflation Rate (%)</t>
  </si>
  <si>
    <t>Operating Expenses</t>
  </si>
  <si>
    <t>Capital Cost</t>
  </si>
  <si>
    <t xml:space="preserve">Battery Dispatch 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</si>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</sst>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9E46-D524-4E65-93CA-5DFDB089BE6A}">
  <dimension ref="A1:C169"/>
  <sheetViews>
    <sheetView workbookViewId="0"/>
  </sheetViews>
  <sheetFormatPr defaultRowHeight="14.5" x14ac:dyDescent="0.35"/>
  <cols>
    <col min="1" max="1" width="23.36328125" bestFit="1" customWidth="1"/>
  </cols>
  <sheetData>
    <row r="1" spans="1:3" x14ac:dyDescent="0.35">
      <c r="A1" t="s">
        <v>9</v>
      </c>
      <c r="B1" t="s">
        <v>10</v>
      </c>
      <c r="C1" t="s">
        <v>179</v>
      </c>
    </row>
    <row r="2" spans="1:3" x14ac:dyDescent="0.35">
      <c r="A2" t="s">
        <v>11</v>
      </c>
      <c r="B2">
        <v>155</v>
      </c>
      <c r="C2">
        <v>14.1339745962155</v>
      </c>
    </row>
    <row r="3" spans="1:3" x14ac:dyDescent="0.35">
      <c r="A3" t="s">
        <v>12</v>
      </c>
      <c r="B3">
        <v>183.91872000000001</v>
      </c>
      <c r="C3">
        <v>16.534074173710898</v>
      </c>
    </row>
    <row r="4" spans="1:3" x14ac:dyDescent="0.35">
      <c r="A4" t="s">
        <v>13</v>
      </c>
      <c r="B4">
        <v>160.69999999999999</v>
      </c>
      <c r="C4">
        <v>18.330127018922099</v>
      </c>
    </row>
    <row r="5" spans="1:3" x14ac:dyDescent="0.35">
      <c r="A5" t="s">
        <v>14</v>
      </c>
      <c r="B5">
        <v>157.13779</v>
      </c>
      <c r="C5">
        <v>19.034074173710898</v>
      </c>
    </row>
    <row r="6" spans="1:3" x14ac:dyDescent="0.35">
      <c r="A6" t="s">
        <v>15</v>
      </c>
      <c r="B6">
        <v>151.51282</v>
      </c>
      <c r="C6">
        <v>18.4641016151377</v>
      </c>
    </row>
    <row r="7" spans="1:3" x14ac:dyDescent="0.35">
      <c r="A7" t="s">
        <v>16</v>
      </c>
      <c r="B7">
        <v>147.82771</v>
      </c>
      <c r="C7">
        <v>16.792893218813401</v>
      </c>
    </row>
    <row r="8" spans="1:3" x14ac:dyDescent="0.35">
      <c r="A8" t="s">
        <v>17</v>
      </c>
      <c r="B8">
        <v>136.81242</v>
      </c>
      <c r="C8">
        <v>14.5</v>
      </c>
    </row>
    <row r="9" spans="1:3" x14ac:dyDescent="0.35">
      <c r="A9" t="s">
        <v>18</v>
      </c>
      <c r="B9">
        <v>128.56061</v>
      </c>
      <c r="C9">
        <v>12.2411809548974</v>
      </c>
    </row>
    <row r="10" spans="1:3" x14ac:dyDescent="0.35">
      <c r="A10" t="s">
        <v>19</v>
      </c>
      <c r="B10">
        <v>152.03178</v>
      </c>
      <c r="C10">
        <v>10.6698729810778</v>
      </c>
    </row>
    <row r="11" spans="1:3" x14ac:dyDescent="0.35">
      <c r="A11" t="s">
        <v>20</v>
      </c>
      <c r="B11">
        <v>143.51392999999999</v>
      </c>
      <c r="C11">
        <v>10.2588190451025</v>
      </c>
    </row>
    <row r="12" spans="1:3" x14ac:dyDescent="0.35">
      <c r="A12" t="s">
        <v>21</v>
      </c>
      <c r="B12">
        <v>139.70792</v>
      </c>
      <c r="C12">
        <v>11.1698729810778</v>
      </c>
    </row>
    <row r="13" spans="1:3" x14ac:dyDescent="0.35">
      <c r="A13" t="s">
        <v>22</v>
      </c>
      <c r="B13">
        <v>137.80054999999999</v>
      </c>
      <c r="C13">
        <v>13.2071067811865</v>
      </c>
    </row>
    <row r="14" spans="1:3" x14ac:dyDescent="0.35">
      <c r="A14" t="s">
        <v>23</v>
      </c>
      <c r="B14">
        <v>140</v>
      </c>
      <c r="C14">
        <v>15.8660254037844</v>
      </c>
    </row>
    <row r="15" spans="1:3" x14ac:dyDescent="0.35">
      <c r="A15" t="s">
        <v>24</v>
      </c>
      <c r="B15">
        <v>150.45429999999999</v>
      </c>
      <c r="C15">
        <v>18.465925826288998</v>
      </c>
    </row>
    <row r="16" spans="1:3" x14ac:dyDescent="0.35">
      <c r="A16" t="s">
        <v>25</v>
      </c>
      <c r="B16">
        <v>173.06818999999999</v>
      </c>
      <c r="C16">
        <v>20.330127018922099</v>
      </c>
    </row>
    <row r="17" spans="1:3" x14ac:dyDescent="0.35">
      <c r="A17" t="s">
        <v>26</v>
      </c>
      <c r="B17">
        <v>171.6198</v>
      </c>
      <c r="C17">
        <v>20.965925826288998</v>
      </c>
    </row>
    <row r="18" spans="1:3" x14ac:dyDescent="0.35">
      <c r="A18" t="s">
        <v>27</v>
      </c>
      <c r="B18">
        <v>149.00165999999999</v>
      </c>
      <c r="C18">
        <v>20.1961524227066</v>
      </c>
    </row>
    <row r="19" spans="1:3" x14ac:dyDescent="0.35">
      <c r="A19" t="s">
        <v>28</v>
      </c>
      <c r="B19">
        <v>143.63081</v>
      </c>
      <c r="C19">
        <v>18.2071067811865</v>
      </c>
    </row>
    <row r="20" spans="1:3" x14ac:dyDescent="0.35">
      <c r="A20" t="s">
        <v>29</v>
      </c>
      <c r="B20">
        <v>144.7302</v>
      </c>
      <c r="C20">
        <v>15.5</v>
      </c>
    </row>
    <row r="21" spans="1:3" x14ac:dyDescent="0.35">
      <c r="A21" t="s">
        <v>30</v>
      </c>
      <c r="B21">
        <v>140.00325000000001</v>
      </c>
      <c r="C21">
        <v>12.7588190451025</v>
      </c>
    </row>
    <row r="22" spans="1:3" x14ac:dyDescent="0.35">
      <c r="A22" t="s">
        <v>31</v>
      </c>
      <c r="B22">
        <v>139.67064999999999</v>
      </c>
      <c r="C22">
        <v>10.6698729810778</v>
      </c>
    </row>
    <row r="23" spans="1:3" x14ac:dyDescent="0.35">
      <c r="A23" t="s">
        <v>32</v>
      </c>
      <c r="B23">
        <v>137.6</v>
      </c>
      <c r="C23">
        <v>9.7411809548974695</v>
      </c>
    </row>
    <row r="24" spans="1:3" x14ac:dyDescent="0.35">
      <c r="A24" t="s">
        <v>33</v>
      </c>
      <c r="B24">
        <v>142.91857999999999</v>
      </c>
      <c r="C24">
        <v>10.1698729810778</v>
      </c>
    </row>
    <row r="25" spans="1:3" x14ac:dyDescent="0.35">
      <c r="A25" t="s">
        <v>34</v>
      </c>
      <c r="B25">
        <v>176.23430999999999</v>
      </c>
      <c r="C25">
        <v>11.792893218813401</v>
      </c>
    </row>
    <row r="26" spans="1:3" x14ac:dyDescent="0.35">
      <c r="A26" t="s">
        <v>35</v>
      </c>
      <c r="B26">
        <v>198.40396000000001</v>
      </c>
      <c r="C26">
        <v>14.1339745962155</v>
      </c>
    </row>
    <row r="27" spans="1:3" x14ac:dyDescent="0.35">
      <c r="A27" t="s">
        <v>36</v>
      </c>
      <c r="B27">
        <v>224.90819999999999</v>
      </c>
      <c r="C27">
        <v>16.534074173710898</v>
      </c>
    </row>
    <row r="28" spans="1:3" x14ac:dyDescent="0.35">
      <c r="A28" t="s">
        <v>37</v>
      </c>
      <c r="B28">
        <v>202.54</v>
      </c>
      <c r="C28">
        <v>18.330127018922099</v>
      </c>
    </row>
    <row r="29" spans="1:3" x14ac:dyDescent="0.35">
      <c r="A29" t="s">
        <v>38</v>
      </c>
      <c r="B29">
        <v>195.53494000000001</v>
      </c>
      <c r="C29">
        <v>19.034074173710898</v>
      </c>
    </row>
    <row r="30" spans="1:3" x14ac:dyDescent="0.35">
      <c r="A30" t="s">
        <v>39</v>
      </c>
      <c r="B30">
        <v>202.32456999999999</v>
      </c>
      <c r="C30">
        <v>18.4641016151377</v>
      </c>
    </row>
    <row r="31" spans="1:3" x14ac:dyDescent="0.35">
      <c r="A31" t="s">
        <v>40</v>
      </c>
      <c r="B31">
        <v>184.90120999999999</v>
      </c>
      <c r="C31">
        <v>16.792893218813401</v>
      </c>
    </row>
    <row r="32" spans="1:3" x14ac:dyDescent="0.35">
      <c r="A32" t="s">
        <v>41</v>
      </c>
      <c r="B32">
        <v>152.37119000000001</v>
      </c>
      <c r="C32">
        <v>14.5</v>
      </c>
    </row>
    <row r="33" spans="1:3" x14ac:dyDescent="0.35">
      <c r="A33" t="s">
        <v>42</v>
      </c>
      <c r="B33">
        <v>151.53673000000001</v>
      </c>
      <c r="C33">
        <v>12.2411809548974</v>
      </c>
    </row>
    <row r="34" spans="1:3" x14ac:dyDescent="0.35">
      <c r="A34" t="s">
        <v>43</v>
      </c>
      <c r="B34">
        <v>158.63934</v>
      </c>
      <c r="C34">
        <v>10.6698729810778</v>
      </c>
    </row>
    <row r="35" spans="1:3" x14ac:dyDescent="0.35">
      <c r="A35" t="s">
        <v>44</v>
      </c>
      <c r="B35">
        <v>151.82687000000001</v>
      </c>
      <c r="C35">
        <v>10.2588190451025</v>
      </c>
    </row>
    <row r="36" spans="1:3" x14ac:dyDescent="0.35">
      <c r="A36" t="s">
        <v>45</v>
      </c>
      <c r="B36">
        <v>146.55556000000001</v>
      </c>
      <c r="C36">
        <v>11.1698729810778</v>
      </c>
    </row>
    <row r="37" spans="1:3" x14ac:dyDescent="0.35">
      <c r="A37" t="s">
        <v>46</v>
      </c>
      <c r="B37">
        <v>146.55556000000001</v>
      </c>
      <c r="C37">
        <v>13.2071067811865</v>
      </c>
    </row>
    <row r="38" spans="1:3" x14ac:dyDescent="0.35">
      <c r="A38" t="s">
        <v>47</v>
      </c>
      <c r="B38">
        <v>153.92554999999999</v>
      </c>
      <c r="C38">
        <v>15.8660254037844</v>
      </c>
    </row>
    <row r="39" spans="1:3" x14ac:dyDescent="0.35">
      <c r="A39" t="s">
        <v>48</v>
      </c>
      <c r="B39">
        <v>160.26990000000001</v>
      </c>
      <c r="C39">
        <v>18.465925826288998</v>
      </c>
    </row>
    <row r="40" spans="1:3" x14ac:dyDescent="0.35">
      <c r="A40" t="s">
        <v>49</v>
      </c>
      <c r="B40">
        <v>204.99893</v>
      </c>
      <c r="C40">
        <v>20.330127018922099</v>
      </c>
    </row>
    <row r="41" spans="1:3" x14ac:dyDescent="0.35">
      <c r="A41" t="s">
        <v>50</v>
      </c>
      <c r="B41">
        <v>219.2329</v>
      </c>
      <c r="C41">
        <v>20.965925826288998</v>
      </c>
    </row>
    <row r="42" spans="1:3" x14ac:dyDescent="0.35">
      <c r="A42" t="s">
        <v>51</v>
      </c>
      <c r="B42">
        <v>179.99306999999999</v>
      </c>
      <c r="C42">
        <v>20.1961524227066</v>
      </c>
    </row>
    <row r="43" spans="1:3" x14ac:dyDescent="0.35">
      <c r="A43" t="s">
        <v>52</v>
      </c>
      <c r="B43">
        <v>162.82</v>
      </c>
      <c r="C43">
        <v>18.2071067811865</v>
      </c>
    </row>
    <row r="44" spans="1:3" x14ac:dyDescent="0.35">
      <c r="A44" t="s">
        <v>53</v>
      </c>
      <c r="B44">
        <v>154.57445999999999</v>
      </c>
      <c r="C44">
        <v>15.5</v>
      </c>
    </row>
    <row r="45" spans="1:3" x14ac:dyDescent="0.35">
      <c r="A45" t="s">
        <v>54</v>
      </c>
      <c r="B45">
        <v>155.35979</v>
      </c>
      <c r="C45">
        <v>12.7588190451025</v>
      </c>
    </row>
    <row r="46" spans="1:3" x14ac:dyDescent="0.35">
      <c r="A46" t="s">
        <v>55</v>
      </c>
      <c r="B46">
        <v>145.02019999999999</v>
      </c>
      <c r="C46">
        <v>10.6698729810778</v>
      </c>
    </row>
    <row r="47" spans="1:3" x14ac:dyDescent="0.35">
      <c r="A47" t="s">
        <v>56</v>
      </c>
      <c r="B47">
        <v>153.07816</v>
      </c>
      <c r="C47">
        <v>9.7411809548974801</v>
      </c>
    </row>
    <row r="48" spans="1:3" x14ac:dyDescent="0.35">
      <c r="A48" t="s">
        <v>57</v>
      </c>
      <c r="B48">
        <v>151.92106999999999</v>
      </c>
      <c r="C48">
        <v>10.169872981077701</v>
      </c>
    </row>
    <row r="49" spans="1:3" x14ac:dyDescent="0.35">
      <c r="A49" t="s">
        <v>58</v>
      </c>
      <c r="B49">
        <v>194.72691</v>
      </c>
      <c r="C49">
        <v>11.792893218813401</v>
      </c>
    </row>
    <row r="50" spans="1:3" x14ac:dyDescent="0.35">
      <c r="A50" t="s">
        <v>59</v>
      </c>
      <c r="B50">
        <v>225</v>
      </c>
      <c r="C50">
        <v>14.1339745962155</v>
      </c>
    </row>
    <row r="51" spans="1:3" x14ac:dyDescent="0.35">
      <c r="A51" t="s">
        <v>60</v>
      </c>
      <c r="B51">
        <v>273.30500000000001</v>
      </c>
      <c r="C51">
        <v>16.534074173710898</v>
      </c>
    </row>
    <row r="52" spans="1:3" x14ac:dyDescent="0.35">
      <c r="A52" t="s">
        <v>61</v>
      </c>
      <c r="B52">
        <v>248.94005999999999</v>
      </c>
      <c r="C52">
        <v>18.330127018922099</v>
      </c>
    </row>
    <row r="53" spans="1:3" x14ac:dyDescent="0.35">
      <c r="A53" t="s">
        <v>62</v>
      </c>
      <c r="B53">
        <v>241.39814999999999</v>
      </c>
      <c r="C53">
        <v>19.034074173710898</v>
      </c>
    </row>
    <row r="54" spans="1:3" x14ac:dyDescent="0.35">
      <c r="A54" t="s">
        <v>63</v>
      </c>
      <c r="B54">
        <v>224.82785000000001</v>
      </c>
      <c r="C54">
        <v>18.4641016151377</v>
      </c>
    </row>
    <row r="55" spans="1:3" x14ac:dyDescent="0.35">
      <c r="A55" t="s">
        <v>64</v>
      </c>
      <c r="B55">
        <v>217.47896</v>
      </c>
      <c r="C55">
        <v>16.792893218813401</v>
      </c>
    </row>
    <row r="56" spans="1:3" x14ac:dyDescent="0.35">
      <c r="A56" t="s">
        <v>65</v>
      </c>
      <c r="B56">
        <v>211.87325999999999</v>
      </c>
      <c r="C56">
        <v>14.5</v>
      </c>
    </row>
    <row r="57" spans="1:3" x14ac:dyDescent="0.35">
      <c r="A57" t="s">
        <v>66</v>
      </c>
      <c r="B57">
        <v>185.92558</v>
      </c>
      <c r="C57">
        <v>12.2411809548974</v>
      </c>
    </row>
    <row r="58" spans="1:3" x14ac:dyDescent="0.35">
      <c r="A58" t="s">
        <v>67</v>
      </c>
      <c r="B58">
        <v>157.89935</v>
      </c>
      <c r="C58">
        <v>10.6698729810778</v>
      </c>
    </row>
    <row r="59" spans="1:3" x14ac:dyDescent="0.35">
      <c r="A59" t="s">
        <v>68</v>
      </c>
      <c r="B59">
        <v>158.18343999999999</v>
      </c>
      <c r="C59">
        <v>10.2588190451025</v>
      </c>
    </row>
    <row r="60" spans="1:3" x14ac:dyDescent="0.35">
      <c r="A60" t="s">
        <v>69</v>
      </c>
      <c r="B60">
        <v>148.74152000000001</v>
      </c>
      <c r="C60">
        <v>11.1698729810778</v>
      </c>
    </row>
    <row r="61" spans="1:3" x14ac:dyDescent="0.35">
      <c r="A61" t="s">
        <v>70</v>
      </c>
      <c r="B61">
        <v>150</v>
      </c>
      <c r="C61">
        <v>13.2071067811865</v>
      </c>
    </row>
    <row r="62" spans="1:3" x14ac:dyDescent="0.35">
      <c r="A62" t="s">
        <v>71</v>
      </c>
      <c r="B62">
        <v>154.31</v>
      </c>
      <c r="C62">
        <v>15.8660254037844</v>
      </c>
    </row>
    <row r="63" spans="1:3" x14ac:dyDescent="0.35">
      <c r="A63" t="s">
        <v>72</v>
      </c>
      <c r="B63">
        <v>155.77000000000001</v>
      </c>
      <c r="C63">
        <v>18.465925826288998</v>
      </c>
    </row>
    <row r="64" spans="1:3" x14ac:dyDescent="0.35">
      <c r="A64" t="s">
        <v>73</v>
      </c>
      <c r="B64">
        <v>171.50986</v>
      </c>
      <c r="C64">
        <v>20.330127018922099</v>
      </c>
    </row>
    <row r="65" spans="1:3" x14ac:dyDescent="0.35">
      <c r="A65" t="s">
        <v>74</v>
      </c>
      <c r="B65">
        <v>172.74113</v>
      </c>
      <c r="C65">
        <v>20.965925826288998</v>
      </c>
    </row>
    <row r="66" spans="1:3" x14ac:dyDescent="0.35">
      <c r="A66" t="s">
        <v>75</v>
      </c>
      <c r="B66">
        <v>152.72</v>
      </c>
      <c r="C66">
        <v>20.1961524227066</v>
      </c>
    </row>
    <row r="67" spans="1:3" x14ac:dyDescent="0.35">
      <c r="A67" t="s">
        <v>76</v>
      </c>
      <c r="B67">
        <v>146.28482</v>
      </c>
      <c r="C67">
        <v>18.2071067811865</v>
      </c>
    </row>
    <row r="68" spans="1:3" x14ac:dyDescent="0.35">
      <c r="A68" t="s">
        <v>77</v>
      </c>
      <c r="B68">
        <v>150.38392999999999</v>
      </c>
      <c r="C68">
        <v>15.499999999999901</v>
      </c>
    </row>
    <row r="69" spans="1:3" x14ac:dyDescent="0.35">
      <c r="A69" t="s">
        <v>78</v>
      </c>
      <c r="B69">
        <v>136.81575000000001</v>
      </c>
      <c r="C69">
        <v>12.7588190451025</v>
      </c>
    </row>
    <row r="70" spans="1:3" x14ac:dyDescent="0.35">
      <c r="A70" t="s">
        <v>79</v>
      </c>
      <c r="B70">
        <v>141.03806</v>
      </c>
      <c r="C70">
        <v>10.6698729810778</v>
      </c>
    </row>
    <row r="71" spans="1:3" x14ac:dyDescent="0.35">
      <c r="A71" t="s">
        <v>80</v>
      </c>
      <c r="B71">
        <v>138.94788</v>
      </c>
      <c r="C71">
        <v>9.7411809548974801</v>
      </c>
    </row>
    <row r="72" spans="1:3" x14ac:dyDescent="0.35">
      <c r="A72" t="s">
        <v>81</v>
      </c>
      <c r="B72">
        <v>135.72806</v>
      </c>
      <c r="C72">
        <v>10.1698729810778</v>
      </c>
    </row>
    <row r="73" spans="1:3" x14ac:dyDescent="0.35">
      <c r="A73" t="s">
        <v>82</v>
      </c>
      <c r="B73">
        <v>159.03448</v>
      </c>
      <c r="C73">
        <v>11.792893218813401</v>
      </c>
    </row>
    <row r="74" spans="1:3" x14ac:dyDescent="0.35">
      <c r="A74" t="s">
        <v>83</v>
      </c>
      <c r="B74">
        <v>181.88414</v>
      </c>
      <c r="C74">
        <v>14.1339745962155</v>
      </c>
    </row>
    <row r="75" spans="1:3" x14ac:dyDescent="0.35">
      <c r="A75" t="s">
        <v>84</v>
      </c>
      <c r="B75">
        <v>188.37993</v>
      </c>
      <c r="C75">
        <v>16.534074173710898</v>
      </c>
    </row>
    <row r="76" spans="1:3" x14ac:dyDescent="0.35">
      <c r="A76" t="s">
        <v>85</v>
      </c>
      <c r="B76">
        <v>185.90509</v>
      </c>
      <c r="C76">
        <v>18.330127018922099</v>
      </c>
    </row>
    <row r="77" spans="1:3" x14ac:dyDescent="0.35">
      <c r="A77" t="s">
        <v>86</v>
      </c>
      <c r="B77">
        <v>186.20464000000001</v>
      </c>
      <c r="C77">
        <v>19.034074173710898</v>
      </c>
    </row>
    <row r="78" spans="1:3" x14ac:dyDescent="0.35">
      <c r="A78" t="s">
        <v>87</v>
      </c>
      <c r="B78">
        <v>183.745</v>
      </c>
      <c r="C78">
        <v>18.4641016151377</v>
      </c>
    </row>
    <row r="79" spans="1:3" x14ac:dyDescent="0.35">
      <c r="A79" t="s">
        <v>88</v>
      </c>
      <c r="B79">
        <v>177.52623</v>
      </c>
      <c r="C79">
        <v>16.792893218813401</v>
      </c>
    </row>
    <row r="80" spans="1:3" x14ac:dyDescent="0.35">
      <c r="A80" t="s">
        <v>89</v>
      </c>
      <c r="B80">
        <v>152.69562999999999</v>
      </c>
      <c r="C80">
        <v>14.5</v>
      </c>
    </row>
    <row r="81" spans="1:3" x14ac:dyDescent="0.35">
      <c r="A81" t="s">
        <v>90</v>
      </c>
      <c r="B81">
        <v>144.88364000000001</v>
      </c>
      <c r="C81">
        <v>12.2411809548974</v>
      </c>
    </row>
    <row r="82" spans="1:3" x14ac:dyDescent="0.35">
      <c r="A82" t="s">
        <v>91</v>
      </c>
      <c r="B82">
        <v>138.14499000000001</v>
      </c>
      <c r="C82">
        <v>10.6698729810778</v>
      </c>
    </row>
    <row r="83" spans="1:3" x14ac:dyDescent="0.35">
      <c r="A83" t="s">
        <v>92</v>
      </c>
      <c r="B83">
        <v>140.55989</v>
      </c>
      <c r="C83">
        <v>10.2588190451025</v>
      </c>
    </row>
    <row r="84" spans="1:3" x14ac:dyDescent="0.35">
      <c r="A84" t="s">
        <v>93</v>
      </c>
      <c r="B84">
        <v>129.25550000000001</v>
      </c>
      <c r="C84">
        <v>11.169872981077701</v>
      </c>
    </row>
    <row r="85" spans="1:3" x14ac:dyDescent="0.35">
      <c r="A85" t="s">
        <v>94</v>
      </c>
      <c r="B85">
        <v>125.92742</v>
      </c>
      <c r="C85">
        <v>13.2071067811865</v>
      </c>
    </row>
    <row r="86" spans="1:3" x14ac:dyDescent="0.35">
      <c r="A86" t="s">
        <v>95</v>
      </c>
      <c r="B86">
        <v>128.14893000000001</v>
      </c>
      <c r="C86">
        <v>15.8660254037844</v>
      </c>
    </row>
    <row r="87" spans="1:3" x14ac:dyDescent="0.35">
      <c r="A87" t="s">
        <v>96</v>
      </c>
      <c r="B87">
        <v>140.1473</v>
      </c>
      <c r="C87">
        <v>18.465925826288998</v>
      </c>
    </row>
    <row r="88" spans="1:3" x14ac:dyDescent="0.35">
      <c r="A88" t="s">
        <v>97</v>
      </c>
      <c r="B88">
        <v>152.31460000000001</v>
      </c>
      <c r="C88">
        <v>20.330127018922099</v>
      </c>
    </row>
    <row r="89" spans="1:3" x14ac:dyDescent="0.35">
      <c r="A89" t="s">
        <v>98</v>
      </c>
      <c r="B89">
        <v>143.55000000000001</v>
      </c>
      <c r="C89">
        <v>20.965925826288998</v>
      </c>
    </row>
    <row r="90" spans="1:3" x14ac:dyDescent="0.35">
      <c r="A90" t="s">
        <v>99</v>
      </c>
      <c r="B90">
        <v>135.81173999999999</v>
      </c>
      <c r="C90">
        <v>20.1961524227066</v>
      </c>
    </row>
    <row r="91" spans="1:3" x14ac:dyDescent="0.35">
      <c r="A91" t="s">
        <v>100</v>
      </c>
      <c r="B91">
        <v>126.7581</v>
      </c>
      <c r="C91">
        <v>18.2071067811865</v>
      </c>
    </row>
    <row r="92" spans="1:3" x14ac:dyDescent="0.35">
      <c r="A92" t="s">
        <v>101</v>
      </c>
      <c r="B92">
        <v>124.35896</v>
      </c>
      <c r="C92">
        <v>15.499999999999901</v>
      </c>
    </row>
    <row r="93" spans="1:3" x14ac:dyDescent="0.35">
      <c r="A93" t="s">
        <v>102</v>
      </c>
      <c r="B93">
        <v>119.88862</v>
      </c>
      <c r="C93">
        <v>12.7588190451025</v>
      </c>
    </row>
    <row r="94" spans="1:3" x14ac:dyDescent="0.35">
      <c r="A94" t="s">
        <v>103</v>
      </c>
      <c r="B94">
        <v>114.51852</v>
      </c>
      <c r="C94">
        <v>10.6698729810778</v>
      </c>
    </row>
    <row r="95" spans="1:3" x14ac:dyDescent="0.35">
      <c r="A95" t="s">
        <v>104</v>
      </c>
      <c r="B95">
        <v>113.63215</v>
      </c>
      <c r="C95">
        <v>9.7411809548974695</v>
      </c>
    </row>
    <row r="96" spans="1:3" x14ac:dyDescent="0.35">
      <c r="A96" t="s">
        <v>105</v>
      </c>
      <c r="B96">
        <v>118.21</v>
      </c>
      <c r="C96">
        <v>10.1698729810778</v>
      </c>
    </row>
    <row r="97" spans="1:3" x14ac:dyDescent="0.35">
      <c r="A97" t="s">
        <v>106</v>
      </c>
      <c r="B97">
        <v>141.34434999999999</v>
      </c>
      <c r="C97">
        <v>11.792893218813401</v>
      </c>
    </row>
    <row r="98" spans="1:3" x14ac:dyDescent="0.35">
      <c r="A98" t="s">
        <v>107</v>
      </c>
      <c r="B98">
        <v>167.28980999999999</v>
      </c>
      <c r="C98">
        <v>14.1339745962155</v>
      </c>
    </row>
    <row r="99" spans="1:3" x14ac:dyDescent="0.35">
      <c r="A99" t="s">
        <v>108</v>
      </c>
      <c r="B99">
        <v>187.22</v>
      </c>
      <c r="C99">
        <v>16.534074173710898</v>
      </c>
    </row>
    <row r="100" spans="1:3" x14ac:dyDescent="0.35">
      <c r="A100" t="s">
        <v>109</v>
      </c>
      <c r="B100">
        <v>160.21744000000001</v>
      </c>
      <c r="C100">
        <v>18.330127018922099</v>
      </c>
    </row>
    <row r="101" spans="1:3" x14ac:dyDescent="0.35">
      <c r="A101" t="s">
        <v>110</v>
      </c>
      <c r="B101">
        <v>157.81773000000001</v>
      </c>
      <c r="C101">
        <v>19.034074173710898</v>
      </c>
    </row>
    <row r="102" spans="1:3" x14ac:dyDescent="0.35">
      <c r="A102" t="s">
        <v>111</v>
      </c>
      <c r="B102">
        <v>157.81773000000001</v>
      </c>
      <c r="C102">
        <v>18.4641016151377</v>
      </c>
    </row>
    <row r="103" spans="1:3" x14ac:dyDescent="0.35">
      <c r="A103" t="s">
        <v>112</v>
      </c>
      <c r="B103">
        <v>154.81773000000001</v>
      </c>
      <c r="C103">
        <v>16.792893218813401</v>
      </c>
    </row>
    <row r="104" spans="1:3" x14ac:dyDescent="0.35">
      <c r="A104" t="s">
        <v>113</v>
      </c>
      <c r="B104">
        <v>144.39725999999999</v>
      </c>
      <c r="C104">
        <v>14.5</v>
      </c>
    </row>
    <row r="105" spans="1:3" x14ac:dyDescent="0.35">
      <c r="A105" t="s">
        <v>114</v>
      </c>
      <c r="B105">
        <v>137.00342000000001</v>
      </c>
      <c r="C105">
        <v>12.2411809548974</v>
      </c>
    </row>
    <row r="106" spans="1:3" x14ac:dyDescent="0.35">
      <c r="A106" t="s">
        <v>115</v>
      </c>
      <c r="B106">
        <v>126.18720999999999</v>
      </c>
      <c r="C106">
        <v>10.6698729810778</v>
      </c>
    </row>
    <row r="107" spans="1:3" x14ac:dyDescent="0.35">
      <c r="A107" t="s">
        <v>116</v>
      </c>
      <c r="B107">
        <v>124.74816</v>
      </c>
      <c r="C107">
        <v>10.2588190451025</v>
      </c>
    </row>
    <row r="108" spans="1:3" x14ac:dyDescent="0.35">
      <c r="A108" t="s">
        <v>117</v>
      </c>
      <c r="B108">
        <v>123.71980000000001</v>
      </c>
      <c r="C108">
        <v>11.1698729810778</v>
      </c>
    </row>
    <row r="109" spans="1:3" x14ac:dyDescent="0.35">
      <c r="A109" t="s">
        <v>118</v>
      </c>
      <c r="B109">
        <v>124.13908000000001</v>
      </c>
      <c r="C109">
        <v>13.2071067811865</v>
      </c>
    </row>
    <row r="110" spans="1:3" x14ac:dyDescent="0.35">
      <c r="A110" t="s">
        <v>119</v>
      </c>
      <c r="B110">
        <v>126.81180999999999</v>
      </c>
      <c r="C110">
        <v>15.8660254037844</v>
      </c>
    </row>
    <row r="111" spans="1:3" x14ac:dyDescent="0.35">
      <c r="A111" t="s">
        <v>120</v>
      </c>
      <c r="B111">
        <v>143.59554</v>
      </c>
      <c r="C111">
        <v>18.465925826288998</v>
      </c>
    </row>
    <row r="112" spans="1:3" x14ac:dyDescent="0.35">
      <c r="A112" t="s">
        <v>121</v>
      </c>
      <c r="B112">
        <v>170.29381000000001</v>
      </c>
      <c r="C112">
        <v>20.330127018922202</v>
      </c>
    </row>
    <row r="113" spans="1:3" x14ac:dyDescent="0.35">
      <c r="A113" t="s">
        <v>122</v>
      </c>
      <c r="B113">
        <v>172.12106</v>
      </c>
      <c r="C113">
        <v>20.965925826288998</v>
      </c>
    </row>
    <row r="114" spans="1:3" x14ac:dyDescent="0.35">
      <c r="A114" t="s">
        <v>123</v>
      </c>
      <c r="B114">
        <v>139.00772000000001</v>
      </c>
      <c r="C114">
        <v>20.1961524227066</v>
      </c>
    </row>
    <row r="115" spans="1:3" x14ac:dyDescent="0.35">
      <c r="A115" t="s">
        <v>124</v>
      </c>
      <c r="B115">
        <v>150</v>
      </c>
      <c r="C115">
        <v>18.2071067811865</v>
      </c>
    </row>
    <row r="116" spans="1:3" x14ac:dyDescent="0.35">
      <c r="A116" t="s">
        <v>125</v>
      </c>
      <c r="B116">
        <v>148.32795999999999</v>
      </c>
      <c r="C116">
        <v>15.5</v>
      </c>
    </row>
    <row r="117" spans="1:3" x14ac:dyDescent="0.35">
      <c r="A117" t="s">
        <v>126</v>
      </c>
      <c r="B117">
        <v>130.77000000000001</v>
      </c>
      <c r="C117">
        <v>12.7588190451025</v>
      </c>
    </row>
    <row r="118" spans="1:3" x14ac:dyDescent="0.35">
      <c r="A118" t="s">
        <v>127</v>
      </c>
      <c r="B118">
        <v>129.5</v>
      </c>
      <c r="C118">
        <v>10.6698729810778</v>
      </c>
    </row>
    <row r="119" spans="1:3" x14ac:dyDescent="0.35">
      <c r="A119" t="s">
        <v>128</v>
      </c>
      <c r="B119">
        <v>121.65</v>
      </c>
      <c r="C119">
        <v>9.7411809548974801</v>
      </c>
    </row>
    <row r="120" spans="1:3" x14ac:dyDescent="0.35">
      <c r="A120" t="s">
        <v>129</v>
      </c>
      <c r="B120">
        <v>119.52030000000001</v>
      </c>
      <c r="C120">
        <v>10.1698729810778</v>
      </c>
    </row>
    <row r="121" spans="1:3" x14ac:dyDescent="0.35">
      <c r="A121" t="s">
        <v>130</v>
      </c>
      <c r="B121">
        <v>139.83674999999999</v>
      </c>
      <c r="C121">
        <v>11.792893218813401</v>
      </c>
    </row>
    <row r="122" spans="1:3" x14ac:dyDescent="0.35">
      <c r="A122" t="s">
        <v>131</v>
      </c>
      <c r="B122">
        <v>178.34464</v>
      </c>
      <c r="C122">
        <v>14.1339745962155</v>
      </c>
    </row>
    <row r="123" spans="1:3" x14ac:dyDescent="0.35">
      <c r="A123" t="s">
        <v>132</v>
      </c>
      <c r="B123">
        <v>200</v>
      </c>
      <c r="C123">
        <v>16.534074173710898</v>
      </c>
    </row>
    <row r="124" spans="1:3" x14ac:dyDescent="0.35">
      <c r="A124" t="s">
        <v>133</v>
      </c>
      <c r="B124">
        <v>184.49449999999999</v>
      </c>
      <c r="C124">
        <v>18.330127018922099</v>
      </c>
    </row>
    <row r="125" spans="1:3" x14ac:dyDescent="0.35">
      <c r="A125" t="s">
        <v>134</v>
      </c>
      <c r="B125">
        <v>177.67455000000001</v>
      </c>
      <c r="C125">
        <v>19.034074173710898</v>
      </c>
    </row>
    <row r="126" spans="1:3" x14ac:dyDescent="0.35">
      <c r="A126" t="s">
        <v>135</v>
      </c>
      <c r="B126">
        <v>181.94897</v>
      </c>
      <c r="C126">
        <v>18.4641016151377</v>
      </c>
    </row>
    <row r="127" spans="1:3" x14ac:dyDescent="0.35">
      <c r="A127" t="s">
        <v>136</v>
      </c>
      <c r="B127">
        <v>169.68858</v>
      </c>
      <c r="C127">
        <v>16.792893218813401</v>
      </c>
    </row>
    <row r="128" spans="1:3" x14ac:dyDescent="0.35">
      <c r="A128" t="s">
        <v>137</v>
      </c>
      <c r="B128">
        <v>144.47235000000001</v>
      </c>
      <c r="C128">
        <v>14.499999999999901</v>
      </c>
    </row>
    <row r="129" spans="1:3" x14ac:dyDescent="0.35">
      <c r="A129" t="s">
        <v>138</v>
      </c>
      <c r="B129">
        <v>131.42722000000001</v>
      </c>
      <c r="C129">
        <v>12.2411809548974</v>
      </c>
    </row>
    <row r="130" spans="1:3" x14ac:dyDescent="0.35">
      <c r="A130" t="s">
        <v>139</v>
      </c>
      <c r="B130">
        <v>134.03308000000001</v>
      </c>
      <c r="C130">
        <v>10.6698729810778</v>
      </c>
    </row>
    <row r="131" spans="1:3" x14ac:dyDescent="0.35">
      <c r="A131" t="s">
        <v>140</v>
      </c>
      <c r="B131">
        <v>134.90526</v>
      </c>
      <c r="C131">
        <v>10.2588190451025</v>
      </c>
    </row>
    <row r="132" spans="1:3" x14ac:dyDescent="0.35">
      <c r="A132" t="s">
        <v>141</v>
      </c>
      <c r="B132">
        <v>131.05897999999999</v>
      </c>
      <c r="C132">
        <v>11.1698729810778</v>
      </c>
    </row>
    <row r="133" spans="1:3" x14ac:dyDescent="0.35">
      <c r="A133" t="s">
        <v>142</v>
      </c>
      <c r="B133">
        <v>134.71</v>
      </c>
      <c r="C133">
        <v>13.2071067811865</v>
      </c>
    </row>
    <row r="134" spans="1:3" x14ac:dyDescent="0.35">
      <c r="A134" t="s">
        <v>143</v>
      </c>
      <c r="B134">
        <v>134.02618000000001</v>
      </c>
      <c r="C134">
        <v>15.8660254037844</v>
      </c>
    </row>
    <row r="135" spans="1:3" x14ac:dyDescent="0.35">
      <c r="A135" t="s">
        <v>144</v>
      </c>
      <c r="B135">
        <v>146.47</v>
      </c>
      <c r="C135">
        <v>18.465925826288998</v>
      </c>
    </row>
    <row r="136" spans="1:3" x14ac:dyDescent="0.35">
      <c r="A136" t="s">
        <v>145</v>
      </c>
      <c r="B136">
        <v>172.87</v>
      </c>
      <c r="C136">
        <v>20.330127018922099</v>
      </c>
    </row>
    <row r="137" spans="1:3" x14ac:dyDescent="0.35">
      <c r="A137" t="s">
        <v>146</v>
      </c>
      <c r="B137">
        <v>174.50704999999999</v>
      </c>
      <c r="C137">
        <v>20.965925826288998</v>
      </c>
    </row>
    <row r="138" spans="1:3" x14ac:dyDescent="0.35">
      <c r="A138" t="s">
        <v>147</v>
      </c>
      <c r="B138">
        <v>150</v>
      </c>
      <c r="C138">
        <v>20.1961524227066</v>
      </c>
    </row>
    <row r="139" spans="1:3" x14ac:dyDescent="0.35">
      <c r="A139" t="s">
        <v>148</v>
      </c>
      <c r="B139">
        <v>145.26233999999999</v>
      </c>
      <c r="C139">
        <v>18.2071067811865</v>
      </c>
    </row>
    <row r="140" spans="1:3" x14ac:dyDescent="0.35">
      <c r="A140" t="s">
        <v>149</v>
      </c>
      <c r="B140">
        <v>144.63965999999999</v>
      </c>
      <c r="C140">
        <v>15.5</v>
      </c>
    </row>
    <row r="141" spans="1:3" x14ac:dyDescent="0.35">
      <c r="A141" t="s">
        <v>150</v>
      </c>
      <c r="B141">
        <v>136.62860000000001</v>
      </c>
      <c r="C141">
        <v>12.7588190451025</v>
      </c>
    </row>
    <row r="142" spans="1:3" x14ac:dyDescent="0.35">
      <c r="A142" t="s">
        <v>151</v>
      </c>
      <c r="B142">
        <v>137.21304000000001</v>
      </c>
      <c r="C142">
        <v>10.6698729810778</v>
      </c>
    </row>
    <row r="143" spans="1:3" x14ac:dyDescent="0.35">
      <c r="A143" t="s">
        <v>152</v>
      </c>
      <c r="B143">
        <v>136.05146999999999</v>
      </c>
      <c r="C143">
        <v>9.7411809548974801</v>
      </c>
    </row>
    <row r="144" spans="1:3" x14ac:dyDescent="0.35">
      <c r="A144" t="s">
        <v>153</v>
      </c>
      <c r="B144">
        <v>130.35</v>
      </c>
      <c r="C144">
        <v>10.1698729810778</v>
      </c>
    </row>
    <row r="145" spans="1:3" x14ac:dyDescent="0.35">
      <c r="A145" t="s">
        <v>154</v>
      </c>
      <c r="B145">
        <v>157.88</v>
      </c>
      <c r="C145">
        <v>11.792893218813401</v>
      </c>
    </row>
    <row r="146" spans="1:3" x14ac:dyDescent="0.35">
      <c r="A146" t="s">
        <v>155</v>
      </c>
      <c r="B146">
        <v>186.58</v>
      </c>
      <c r="C146">
        <v>14.1339745962155</v>
      </c>
    </row>
    <row r="147" spans="1:3" x14ac:dyDescent="0.35">
      <c r="A147" t="s">
        <v>156</v>
      </c>
      <c r="B147">
        <v>206.32535999999999</v>
      </c>
      <c r="C147">
        <v>16.534074173710898</v>
      </c>
    </row>
    <row r="148" spans="1:3" x14ac:dyDescent="0.35">
      <c r="A148" t="s">
        <v>157</v>
      </c>
      <c r="B148">
        <v>190</v>
      </c>
      <c r="C148">
        <v>18.330127018922099</v>
      </c>
    </row>
    <row r="149" spans="1:3" x14ac:dyDescent="0.35">
      <c r="A149" t="s">
        <v>158</v>
      </c>
      <c r="B149">
        <v>186</v>
      </c>
      <c r="C149">
        <v>19.034074173710898</v>
      </c>
    </row>
    <row r="150" spans="1:3" x14ac:dyDescent="0.35">
      <c r="A150" t="s">
        <v>159</v>
      </c>
      <c r="B150">
        <v>180.99928</v>
      </c>
      <c r="C150">
        <v>18.4641016151377</v>
      </c>
    </row>
    <row r="151" spans="1:3" x14ac:dyDescent="0.35">
      <c r="A151" t="s">
        <v>160</v>
      </c>
      <c r="B151">
        <v>171.02905000000001</v>
      </c>
      <c r="C151">
        <v>16.792893218813401</v>
      </c>
    </row>
    <row r="152" spans="1:3" x14ac:dyDescent="0.35">
      <c r="A152" t="s">
        <v>161</v>
      </c>
      <c r="B152">
        <v>164.18983</v>
      </c>
      <c r="C152">
        <v>14.5</v>
      </c>
    </row>
    <row r="153" spans="1:3" x14ac:dyDescent="0.35">
      <c r="A153" t="s">
        <v>162</v>
      </c>
      <c r="B153">
        <v>149.91685000000001</v>
      </c>
      <c r="C153">
        <v>12.2411809548975</v>
      </c>
    </row>
    <row r="154" spans="1:3" x14ac:dyDescent="0.35">
      <c r="A154" t="s">
        <v>163</v>
      </c>
      <c r="B154">
        <v>139.63238999999999</v>
      </c>
      <c r="C154">
        <v>10.6698729810778</v>
      </c>
    </row>
    <row r="155" spans="1:3" x14ac:dyDescent="0.35">
      <c r="A155" t="s">
        <v>164</v>
      </c>
      <c r="B155">
        <v>131.79924</v>
      </c>
      <c r="C155">
        <v>10.2588190451025</v>
      </c>
    </row>
    <row r="156" spans="1:3" x14ac:dyDescent="0.35">
      <c r="A156" t="s">
        <v>165</v>
      </c>
      <c r="B156">
        <v>131.70949999999999</v>
      </c>
      <c r="C156">
        <v>11.169872981077701</v>
      </c>
    </row>
    <row r="157" spans="1:3" x14ac:dyDescent="0.35">
      <c r="A157" t="s">
        <v>166</v>
      </c>
      <c r="B157">
        <v>131.92783</v>
      </c>
      <c r="C157">
        <v>13.2071067811865</v>
      </c>
    </row>
    <row r="158" spans="1:3" x14ac:dyDescent="0.35">
      <c r="A158" t="s">
        <v>167</v>
      </c>
      <c r="B158">
        <v>135.36955</v>
      </c>
      <c r="C158">
        <v>15.866025403784301</v>
      </c>
    </row>
    <row r="159" spans="1:3" x14ac:dyDescent="0.35">
      <c r="A159" t="s">
        <v>168</v>
      </c>
      <c r="B159">
        <v>150.72647000000001</v>
      </c>
      <c r="C159">
        <v>18.465925826288998</v>
      </c>
    </row>
    <row r="160" spans="1:3" x14ac:dyDescent="0.35">
      <c r="A160" t="s">
        <v>169</v>
      </c>
      <c r="B160">
        <v>183.75944999999999</v>
      </c>
      <c r="C160">
        <v>20.330127018922099</v>
      </c>
    </row>
    <row r="161" spans="1:3" x14ac:dyDescent="0.35">
      <c r="A161" t="s">
        <v>170</v>
      </c>
      <c r="B161">
        <v>180.72058000000001</v>
      </c>
      <c r="C161">
        <v>20.965925826288998</v>
      </c>
    </row>
    <row r="162" spans="1:3" x14ac:dyDescent="0.35">
      <c r="A162" t="s">
        <v>171</v>
      </c>
      <c r="B162">
        <v>147.47672</v>
      </c>
      <c r="C162">
        <v>20.1961524227066</v>
      </c>
    </row>
    <row r="163" spans="1:3" x14ac:dyDescent="0.35">
      <c r="A163" t="s">
        <v>172</v>
      </c>
      <c r="B163">
        <v>135.63999999999999</v>
      </c>
      <c r="C163">
        <v>18.2071067811865</v>
      </c>
    </row>
    <row r="164" spans="1:3" x14ac:dyDescent="0.35">
      <c r="A164" t="s">
        <v>173</v>
      </c>
      <c r="B164">
        <v>135.12020999999999</v>
      </c>
      <c r="C164">
        <v>15.5</v>
      </c>
    </row>
    <row r="165" spans="1:3" x14ac:dyDescent="0.35">
      <c r="A165" t="s">
        <v>174</v>
      </c>
      <c r="B165">
        <v>124.38</v>
      </c>
      <c r="C165">
        <v>12.7588190451025</v>
      </c>
    </row>
    <row r="166" spans="1:3" x14ac:dyDescent="0.35">
      <c r="A166" t="s">
        <v>175</v>
      </c>
      <c r="B166">
        <v>121.91184</v>
      </c>
      <c r="C166">
        <v>10.6698729810778</v>
      </c>
    </row>
    <row r="167" spans="1:3" x14ac:dyDescent="0.35">
      <c r="A167" t="s">
        <v>176</v>
      </c>
      <c r="B167">
        <v>119.51</v>
      </c>
      <c r="C167">
        <v>9.7411809548974801</v>
      </c>
    </row>
    <row r="168" spans="1:3" x14ac:dyDescent="0.35">
      <c r="A168" t="s">
        <v>177</v>
      </c>
      <c r="B168">
        <v>124.34587999999999</v>
      </c>
      <c r="C168">
        <v>10.1698729810778</v>
      </c>
    </row>
    <row r="169" spans="1:3" x14ac:dyDescent="0.35">
      <c r="A169" t="s">
        <v>178</v>
      </c>
      <c r="B169">
        <v>145.02985000000001</v>
      </c>
      <c r="C169">
        <v>11.792893218813401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9861-0EC3-4E7D-99FA-4EEDE1B66AA4}">
  <dimension ref="A1:P12"/>
  <sheetViews>
    <sheetView tabSelected="1" workbookViewId="0">
      <selection activeCell="A13" sqref="A13:XFD13"/>
    </sheetView>
  </sheetViews>
  <sheetFormatPr defaultRowHeight="14.5" x14ac:dyDescent="0.35"/>
  <cols>
    <col min="2" max="2" width="14.26953125" bestFit="1" customWidth="1"/>
    <col min="3" max="3" width="15.36328125" bestFit="1" customWidth="1"/>
    <col min="4" max="4" width="12.90625" bestFit="1" customWidth="1"/>
    <col min="5" max="5" width="13.1796875" bestFit="1" customWidth="1"/>
    <col min="6" max="6" width="23.453125" bestFit="1" customWidth="1"/>
    <col min="7" max="7" width="20.81640625" bestFit="1" customWidth="1"/>
    <col min="8" max="8" width="19.08984375" bestFit="1" customWidth="1"/>
    <col min="9" max="9" width="30.6328125" bestFit="1" customWidth="1"/>
    <col min="10" max="10" width="17.81640625" bestFit="1" customWidth="1"/>
    <col min="11" max="11" width="9" bestFit="1" customWidth="1"/>
    <col min="12" max="12" width="20" bestFit="1" customWidth="1"/>
    <col min="13" max="13" width="12" bestFit="1" customWidth="1"/>
    <col min="14" max="14" width="14" bestFit="1" customWidth="1"/>
    <col min="15" max="15" width="20.1796875" bestFit="1" customWidth="1"/>
    <col min="16" max="16" width="15.54296875" bestFit="1" customWidth="1"/>
  </cols>
  <sheetData>
    <row r="1" spans="1:16" x14ac:dyDescent="0.35">
      <c r="B1" s="3" t="s">
        <v>188</v>
      </c>
      <c r="C1" s="3"/>
      <c r="D1" s="3"/>
      <c r="E1" s="3"/>
      <c r="F1" s="3"/>
      <c r="G1" s="3"/>
      <c r="H1" s="3"/>
      <c r="I1" s="3"/>
      <c r="J1" s="3"/>
      <c r="K1" s="3"/>
      <c r="L1" s="4" t="s">
        <v>187</v>
      </c>
      <c r="M1" s="4"/>
      <c r="N1" s="4"/>
      <c r="O1" s="5" t="s">
        <v>186</v>
      </c>
      <c r="P1" s="5"/>
    </row>
    <row r="2" spans="1:16" x14ac:dyDescent="0.35">
      <c r="A2" t="s">
        <v>189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7</v>
      </c>
      <c r="K2" t="s">
        <v>180</v>
      </c>
      <c r="L2" t="s">
        <v>182</v>
      </c>
      <c r="M2" t="s">
        <v>183</v>
      </c>
      <c r="N2" t="s">
        <v>181</v>
      </c>
      <c r="O2" t="s">
        <v>184</v>
      </c>
      <c r="P2" t="s">
        <v>185</v>
      </c>
    </row>
    <row r="3" spans="1:16" x14ac:dyDescent="0.35">
      <c r="A3">
        <v>1</v>
      </c>
      <c r="B3">
        <v>60</v>
      </c>
      <c r="C3">
        <v>2</v>
      </c>
      <c r="D3">
        <v>0.1</v>
      </c>
      <c r="E3">
        <v>0.85</v>
      </c>
      <c r="F3">
        <f>(E3-D3)*B3/C3</f>
        <v>22.5</v>
      </c>
      <c r="G3">
        <f>F3</f>
        <v>22.5</v>
      </c>
      <c r="H3">
        <v>1E-4</v>
      </c>
      <c r="I3">
        <v>0.9</v>
      </c>
      <c r="J3" s="1">
        <v>0.5</v>
      </c>
      <c r="K3">
        <v>1</v>
      </c>
      <c r="L3" s="2">
        <v>5000000</v>
      </c>
      <c r="M3" s="1">
        <v>0.06</v>
      </c>
      <c r="N3">
        <v>20</v>
      </c>
      <c r="O3" s="1">
        <v>0.09</v>
      </c>
      <c r="P3" s="1">
        <v>0.03</v>
      </c>
    </row>
    <row r="4" spans="1:16" x14ac:dyDescent="0.35">
      <c r="A4">
        <v>2</v>
      </c>
      <c r="B4">
        <v>60</v>
      </c>
      <c r="C4">
        <v>2</v>
      </c>
      <c r="D4">
        <v>0.1</v>
      </c>
      <c r="E4">
        <v>0.85</v>
      </c>
      <c r="F4">
        <f t="shared" ref="F4:F12" si="0">(E4-D4)*B4/C4</f>
        <v>22.5</v>
      </c>
      <c r="G4">
        <f t="shared" ref="G4:G12" si="1">F4</f>
        <v>22.5</v>
      </c>
      <c r="H4">
        <v>1E-4</v>
      </c>
      <c r="I4">
        <f>I3+0.01</f>
        <v>0.91</v>
      </c>
      <c r="J4" s="1">
        <v>0.5</v>
      </c>
      <c r="K4">
        <v>1</v>
      </c>
      <c r="L4" s="2">
        <v>5000000</v>
      </c>
      <c r="M4" s="1">
        <v>0.06</v>
      </c>
      <c r="N4">
        <v>20</v>
      </c>
      <c r="O4" s="1">
        <v>0.09</v>
      </c>
      <c r="P4" s="1">
        <v>0.03</v>
      </c>
    </row>
    <row r="5" spans="1:16" x14ac:dyDescent="0.35">
      <c r="A5">
        <v>3</v>
      </c>
      <c r="B5">
        <v>60</v>
      </c>
      <c r="C5">
        <v>2</v>
      </c>
      <c r="D5">
        <v>0.1</v>
      </c>
      <c r="E5">
        <v>0.85</v>
      </c>
      <c r="F5">
        <f t="shared" si="0"/>
        <v>22.5</v>
      </c>
      <c r="G5">
        <f t="shared" si="1"/>
        <v>22.5</v>
      </c>
      <c r="H5">
        <v>1E-4</v>
      </c>
      <c r="I5">
        <f t="shared" ref="I5:I12" si="2">I4+0.01</f>
        <v>0.92</v>
      </c>
      <c r="J5" s="1">
        <v>0.5</v>
      </c>
      <c r="K5">
        <v>1</v>
      </c>
      <c r="L5" s="2">
        <v>5000000</v>
      </c>
      <c r="M5" s="1">
        <v>0.06</v>
      </c>
      <c r="N5">
        <v>20</v>
      </c>
      <c r="O5" s="1">
        <v>0.09</v>
      </c>
      <c r="P5" s="1">
        <v>0.03</v>
      </c>
    </row>
    <row r="6" spans="1:16" x14ac:dyDescent="0.35">
      <c r="A6">
        <v>4</v>
      </c>
      <c r="B6">
        <v>60</v>
      </c>
      <c r="C6">
        <v>2</v>
      </c>
      <c r="D6">
        <v>0.1</v>
      </c>
      <c r="E6">
        <v>0.85</v>
      </c>
      <c r="F6">
        <f t="shared" si="0"/>
        <v>22.5</v>
      </c>
      <c r="G6">
        <f t="shared" si="1"/>
        <v>22.5</v>
      </c>
      <c r="H6">
        <v>1E-4</v>
      </c>
      <c r="I6">
        <f t="shared" si="2"/>
        <v>0.93</v>
      </c>
      <c r="J6" s="1">
        <v>0.5</v>
      </c>
      <c r="K6">
        <v>1</v>
      </c>
      <c r="L6" s="2">
        <v>5000000</v>
      </c>
      <c r="M6" s="1">
        <v>0.06</v>
      </c>
      <c r="N6">
        <v>20</v>
      </c>
      <c r="O6" s="1">
        <v>0.09</v>
      </c>
      <c r="P6" s="1">
        <v>0.03</v>
      </c>
    </row>
    <row r="7" spans="1:16" x14ac:dyDescent="0.35">
      <c r="A7">
        <v>5</v>
      </c>
      <c r="B7">
        <v>60</v>
      </c>
      <c r="C7">
        <v>2</v>
      </c>
      <c r="D7">
        <v>0.1</v>
      </c>
      <c r="E7">
        <v>0.85</v>
      </c>
      <c r="F7">
        <f t="shared" si="0"/>
        <v>22.5</v>
      </c>
      <c r="G7">
        <f t="shared" si="1"/>
        <v>22.5</v>
      </c>
      <c r="H7">
        <v>1E-4</v>
      </c>
      <c r="I7">
        <f t="shared" si="2"/>
        <v>0.94000000000000006</v>
      </c>
      <c r="J7" s="1">
        <v>0.5</v>
      </c>
      <c r="K7">
        <v>1</v>
      </c>
      <c r="L7" s="2">
        <v>5000000</v>
      </c>
      <c r="M7" s="1">
        <v>0.06</v>
      </c>
      <c r="N7">
        <v>20</v>
      </c>
      <c r="O7" s="1">
        <v>0.09</v>
      </c>
      <c r="P7" s="1">
        <v>0.03</v>
      </c>
    </row>
    <row r="8" spans="1:16" x14ac:dyDescent="0.35">
      <c r="A8">
        <v>6</v>
      </c>
      <c r="B8">
        <v>60</v>
      </c>
      <c r="C8">
        <v>2</v>
      </c>
      <c r="D8">
        <v>0.1</v>
      </c>
      <c r="E8">
        <v>0.85</v>
      </c>
      <c r="F8">
        <f t="shared" si="0"/>
        <v>22.5</v>
      </c>
      <c r="G8">
        <f t="shared" si="1"/>
        <v>22.5</v>
      </c>
      <c r="H8">
        <v>1E-4</v>
      </c>
      <c r="I8">
        <f t="shared" si="2"/>
        <v>0.95000000000000007</v>
      </c>
      <c r="J8" s="1">
        <v>0.5</v>
      </c>
      <c r="K8">
        <v>1</v>
      </c>
      <c r="L8" s="2">
        <v>5000000</v>
      </c>
      <c r="M8" s="1">
        <v>0.06</v>
      </c>
      <c r="N8">
        <v>20</v>
      </c>
      <c r="O8" s="1">
        <v>0.09</v>
      </c>
      <c r="P8" s="1">
        <v>0.03</v>
      </c>
    </row>
    <row r="9" spans="1:16" x14ac:dyDescent="0.35">
      <c r="A9">
        <v>7</v>
      </c>
      <c r="B9">
        <v>60</v>
      </c>
      <c r="C9">
        <v>2</v>
      </c>
      <c r="D9">
        <v>0.1</v>
      </c>
      <c r="E9">
        <v>0.85</v>
      </c>
      <c r="F9">
        <f t="shared" si="0"/>
        <v>22.5</v>
      </c>
      <c r="G9">
        <f t="shared" si="1"/>
        <v>22.5</v>
      </c>
      <c r="H9">
        <v>1E-4</v>
      </c>
      <c r="I9">
        <f t="shared" si="2"/>
        <v>0.96000000000000008</v>
      </c>
      <c r="J9" s="1">
        <v>0.5</v>
      </c>
      <c r="K9">
        <v>1</v>
      </c>
      <c r="L9" s="2">
        <v>5000000</v>
      </c>
      <c r="M9" s="1">
        <v>0.06</v>
      </c>
      <c r="N9">
        <v>20</v>
      </c>
      <c r="O9" s="1">
        <v>0.09</v>
      </c>
      <c r="P9" s="1">
        <v>0.03</v>
      </c>
    </row>
    <row r="10" spans="1:16" x14ac:dyDescent="0.35">
      <c r="A10">
        <v>8</v>
      </c>
      <c r="B10">
        <v>60</v>
      </c>
      <c r="C10">
        <v>2</v>
      </c>
      <c r="D10">
        <v>0.1</v>
      </c>
      <c r="E10">
        <v>0.85</v>
      </c>
      <c r="F10">
        <f t="shared" si="0"/>
        <v>22.5</v>
      </c>
      <c r="G10">
        <f t="shared" si="1"/>
        <v>22.5</v>
      </c>
      <c r="H10">
        <v>1E-4</v>
      </c>
      <c r="I10">
        <f t="shared" si="2"/>
        <v>0.97000000000000008</v>
      </c>
      <c r="J10" s="1">
        <v>0.5</v>
      </c>
      <c r="K10">
        <v>1</v>
      </c>
      <c r="L10" s="2">
        <v>5000000</v>
      </c>
      <c r="M10" s="1">
        <v>0.06</v>
      </c>
      <c r="N10">
        <v>20</v>
      </c>
      <c r="O10" s="1">
        <v>0.09</v>
      </c>
      <c r="P10" s="1">
        <v>0.03</v>
      </c>
    </row>
    <row r="11" spans="1:16" x14ac:dyDescent="0.35">
      <c r="A11">
        <v>9</v>
      </c>
      <c r="B11">
        <v>60</v>
      </c>
      <c r="C11">
        <v>2</v>
      </c>
      <c r="D11">
        <v>0.1</v>
      </c>
      <c r="E11">
        <v>0.85</v>
      </c>
      <c r="F11">
        <f t="shared" si="0"/>
        <v>22.5</v>
      </c>
      <c r="G11">
        <f t="shared" si="1"/>
        <v>22.5</v>
      </c>
      <c r="H11">
        <v>1E-4</v>
      </c>
      <c r="I11">
        <f t="shared" si="2"/>
        <v>0.98000000000000009</v>
      </c>
      <c r="J11" s="1">
        <v>0.5</v>
      </c>
      <c r="K11">
        <v>1</v>
      </c>
      <c r="L11" s="2">
        <v>5000000</v>
      </c>
      <c r="M11" s="1">
        <v>0.06</v>
      </c>
      <c r="N11">
        <v>20</v>
      </c>
      <c r="O11" s="1">
        <v>0.09</v>
      </c>
      <c r="P11" s="1">
        <v>0.03</v>
      </c>
    </row>
    <row r="12" spans="1:16" x14ac:dyDescent="0.35">
      <c r="A12">
        <v>10</v>
      </c>
      <c r="B12">
        <v>60</v>
      </c>
      <c r="C12">
        <v>2</v>
      </c>
      <c r="D12">
        <v>0.1</v>
      </c>
      <c r="E12">
        <v>0.85</v>
      </c>
      <c r="F12">
        <f t="shared" si="0"/>
        <v>22.5</v>
      </c>
      <c r="G12">
        <f t="shared" si="1"/>
        <v>22.5</v>
      </c>
      <c r="H12">
        <v>1E-4</v>
      </c>
      <c r="I12">
        <f t="shared" si="2"/>
        <v>0.9900000000000001</v>
      </c>
      <c r="J12" s="1">
        <v>0.5</v>
      </c>
      <c r="K12">
        <v>1</v>
      </c>
      <c r="L12" s="2">
        <v>5000000</v>
      </c>
      <c r="M12" s="1">
        <v>0.06</v>
      </c>
      <c r="N12">
        <v>20</v>
      </c>
      <c r="O12" s="1">
        <v>0.09</v>
      </c>
      <c r="P12" s="1">
        <v>0.03</v>
      </c>
    </row>
  </sheetData>
  <mergeCells count="3">
    <mergeCell ref="B1:K1"/>
    <mergeCell ref="L1:N1"/>
    <mergeCell ref="O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Time-Series Data</vt:lpstr>
      <vt:lpstr>Scalar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Stayner</dc:creator>
  <cp:lastModifiedBy>John Stayner</cp:lastModifiedBy>
  <dcterms:created xsi:type="dcterms:W3CDTF">2025-12-22T06:04:14Z</dcterms:created>
  <dcterms:modified xsi:type="dcterms:W3CDTF">2025-12-29T03:55:12Z</dcterms:modified>
</cp:coreProperties>
</file>